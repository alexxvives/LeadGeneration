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IR SALONS" sheetId="1" state="visible" r:id="rId1"/>
    <sheet xmlns:r="http://schemas.openxmlformats.org/officeDocument/2006/relationships" name="CLINICA CAPI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6640625" customWidth="1" min="1" max="1"/>
    <col width="17.6640625" customWidth="1" min="2" max="2"/>
    <col width="19.33203125" customWidth="1" min="3" max="3"/>
    <col width="20.109375" customWidth="1" min="4" max="4"/>
    <col width="25.109375" customWidth="1" min="5" max="5"/>
    <col width="17.6640625" customWidth="1" min="6" max="6"/>
  </cols>
  <sheetData>
    <row r="1">
      <c r="A1" s="1" t="inlineStr">
        <is>
          <t>Opportunity</t>
        </is>
      </c>
      <c r="B1" s="1" t="inlineStr">
        <is>
          <t>Name</t>
        </is>
      </c>
      <c r="C1" s="1" t="inlineStr">
        <is>
          <t>Categoria</t>
        </is>
      </c>
      <c r="D1" s="1" t="inlineStr">
        <is>
          <t>Address</t>
        </is>
      </c>
      <c r="E1" s="1" t="inlineStr">
        <is>
          <t>Website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Stage</t>
        </is>
      </c>
      <c r="I1" s="1" t="inlineStr">
        <is>
          <t>Notes</t>
        </is>
      </c>
    </row>
    <row r="2">
      <c r="A2" t="inlineStr">
        <is>
          <t>"CAPRICHO"</t>
        </is>
      </c>
      <c r="C2" t="inlineStr">
        <is>
          <t>HAIR SALON</t>
        </is>
      </c>
      <c r="D2" t="inlineStr">
        <is>
          <t>Av. de Josep Tarradellas, 50, Eixample, 08029 Barcelona, Spain</t>
        </is>
      </c>
      <c r="F2">
        <f>+34 633 74 35 71</f>
        <v/>
      </c>
      <c r="H2" t="inlineStr">
        <is>
          <t>Pending</t>
        </is>
      </c>
    </row>
    <row r="3">
      <c r="A3" t="inlineStr">
        <is>
          <t>"Miracle Workers by Olek" - Hairsalon in Barcelona</t>
        </is>
      </c>
      <c r="C3" t="inlineStr">
        <is>
          <t>HAIR SALON</t>
        </is>
      </c>
      <c r="D3" t="inlineStr">
        <is>
          <t>Carrer de Marià Cubí, 57, Local 2, Sarrià-Sant Gervasi, 08006 Barcelona, Spain</t>
        </is>
      </c>
      <c r="F3">
        <f>+34 692 91 97 87</f>
        <v/>
      </c>
      <c r="H3" t="inlineStr">
        <is>
          <t>Pending</t>
        </is>
      </c>
    </row>
    <row r="4">
      <c r="A4" t="inlineStr">
        <is>
          <t>111 Barbershop</t>
        </is>
      </c>
      <c r="C4" t="inlineStr">
        <is>
          <t>HAIR SALON</t>
        </is>
      </c>
      <c r="D4" t="inlineStr">
        <is>
          <t>Carrer de Tamarit, 111, Eixample, 08015 Barcelona, Spain</t>
        </is>
      </c>
      <c r="F4">
        <f>+34 641 91 44 63</f>
        <v/>
      </c>
      <c r="H4" t="inlineStr">
        <is>
          <t>Pending</t>
        </is>
      </c>
    </row>
    <row r="5">
      <c r="A5" t="inlineStr">
        <is>
          <t>366 CDB Peluquería Compagnia della Bellezza</t>
        </is>
      </c>
      <c r="C5" t="inlineStr">
        <is>
          <t>HAIR SALON</t>
        </is>
      </c>
      <c r="D5" t="inlineStr">
        <is>
          <t>Carrer de Marià Cubí, 205, Sarrià-Sant Gervasi, 08021 Barcelona, Spain</t>
        </is>
      </c>
      <c r="F5">
        <f>+34 930 24 26 14</f>
        <v/>
      </c>
      <c r="G5" t="inlineStr">
        <is>
          <t>info@366cdb.com</t>
        </is>
      </c>
      <c r="H5" t="inlineStr">
        <is>
          <t>Pending</t>
        </is>
      </c>
    </row>
    <row r="6">
      <c r="A6" t="inlineStr">
        <is>
          <t>58 flow la barbería</t>
        </is>
      </c>
      <c r="C6" t="inlineStr">
        <is>
          <t>HAIR SALON</t>
        </is>
      </c>
      <c r="D6" t="inlineStr">
        <is>
          <t>Carrer de Lluçà, 7, Les Corts, 08028 Barcelona, Spain</t>
        </is>
      </c>
      <c r="F6">
        <f>+34 603 49 29 63</f>
        <v/>
      </c>
      <c r="G6" t="inlineStr">
        <is>
          <t>help.es@booksy.com</t>
        </is>
      </c>
      <c r="H6" t="inlineStr">
        <is>
          <t>Pending</t>
        </is>
      </c>
    </row>
    <row r="7">
      <c r="A7" t="inlineStr">
        <is>
          <t>5º 1ª Beauty Salon</t>
        </is>
      </c>
      <c r="C7" t="inlineStr">
        <is>
          <t>HAIR SALON</t>
        </is>
      </c>
      <c r="D7" t="inlineStr">
        <is>
          <t>Ronda de la Univ., 20, Eixample, 08007 Barcelona, Spain</t>
        </is>
      </c>
      <c r="F7">
        <f>+34 934 12 51 62</f>
        <v/>
      </c>
      <c r="H7" t="inlineStr">
        <is>
          <t>Pending</t>
        </is>
      </c>
    </row>
    <row r="8">
      <c r="A8" t="inlineStr">
        <is>
          <t>7Q Nails Blossom</t>
        </is>
      </c>
      <c r="C8" t="inlineStr">
        <is>
          <t>HAIR SALON</t>
        </is>
      </c>
      <c r="D8" t="inlineStr">
        <is>
          <t>Carrer del Comte Borrell, 173, Eixample, 08015 Barcelona, Spain</t>
        </is>
      </c>
      <c r="F8">
        <f>+34 662 55 72 55</f>
        <v/>
      </c>
      <c r="H8" t="inlineStr">
        <is>
          <t>Pending</t>
        </is>
      </c>
    </row>
    <row r="9">
      <c r="A9" t="inlineStr">
        <is>
          <t>A Club by Anthony Llobet BORN (English hair salon)</t>
        </is>
      </c>
      <c r="C9" t="inlineStr">
        <is>
          <t>HAIR SALON</t>
        </is>
      </c>
      <c r="D9" t="inlineStr">
        <is>
          <t>Carrer dels Carders, 34, Ciutat Vella, 08003 Barcelona, Spain</t>
        </is>
      </c>
      <c r="F9">
        <f>+34 932 95 48 71</f>
        <v/>
      </c>
      <c r="H9" t="inlineStr">
        <is>
          <t>Pending</t>
        </is>
      </c>
    </row>
    <row r="10">
      <c r="A10" t="inlineStr">
        <is>
          <t>A&amp;M Perruqueria Unisex</t>
        </is>
      </c>
      <c r="C10" t="inlineStr">
        <is>
          <t>HAIR SALON</t>
        </is>
      </c>
      <c r="D10" t="inlineStr">
        <is>
          <t>Carrer Enginyer Moncunill, 1, 08905 L'Hospitalet de Llobregat, Barcelona, Spain</t>
        </is>
      </c>
      <c r="F10">
        <f>+34 628 65 57 03</f>
        <v/>
      </c>
      <c r="G10" t="inlineStr">
        <is>
          <t>ajam4047@gmail.com</t>
        </is>
      </c>
      <c r="H10" t="inlineStr">
        <is>
          <t>Pending</t>
        </is>
      </c>
    </row>
    <row r="11">
      <c r="A11" t="inlineStr">
        <is>
          <t>ACADEMIA CALYSTA</t>
        </is>
      </c>
      <c r="C11" t="inlineStr">
        <is>
          <t>HAIR SALON</t>
        </is>
      </c>
      <c r="D11" t="inlineStr">
        <is>
          <t>Carrer del Bruc, 40, Eixample, 08010 Barcelona, Spain</t>
        </is>
      </c>
      <c r="E11" t="inlineStr">
        <is>
          <t>http://instagram.com/borratatu</t>
        </is>
      </c>
      <c r="F11">
        <f>+34 657 17 70 37</f>
        <v/>
      </c>
      <c r="H11" t="inlineStr">
        <is>
          <t>Pending</t>
        </is>
      </c>
    </row>
    <row r="12">
      <c r="A12" t="inlineStr">
        <is>
          <t>ADOR Barcelona | Peluquería y Estética</t>
        </is>
      </c>
      <c r="C12" t="inlineStr">
        <is>
          <t>HAIR SALON</t>
        </is>
      </c>
      <c r="D12" t="inlineStr">
        <is>
          <t>Carrer de París, 199, Eixample, 08036 Barcelona, Spain</t>
        </is>
      </c>
      <c r="F12">
        <f>+34 937 37 75 13</f>
        <v/>
      </c>
      <c r="G12" t="inlineStr">
        <is>
          <t>info@adorbarcelona.com</t>
        </is>
      </c>
      <c r="H12" t="inlineStr">
        <is>
          <t>Pending</t>
        </is>
      </c>
    </row>
    <row r="13">
      <c r="A13" t="inlineStr">
        <is>
          <t>AETERNUM BARBERÍA</t>
        </is>
      </c>
      <c r="C13" t="inlineStr">
        <is>
          <t>HAIR SALON</t>
        </is>
      </c>
      <c r="D13" t="inlineStr">
        <is>
          <t>Carrer Farnés, 18, 08904 L'Hospitalet de Llobregat, Barcelona, Spain</t>
        </is>
      </c>
      <c r="F13">
        <f>+34 615 26 08 70</f>
        <v/>
      </c>
      <c r="H13" t="inlineStr">
        <is>
          <t>Pending</t>
        </is>
      </c>
    </row>
    <row r="14">
      <c r="A14" t="inlineStr">
        <is>
          <t>AFROYOLO PREMIUM</t>
        </is>
      </c>
      <c r="C14" t="inlineStr">
        <is>
          <t>HAIR SALON</t>
        </is>
      </c>
      <c r="D14" t="inlineStr">
        <is>
          <t>Carrer de la Creu Roja, 45, 08904 L'Hospitalet de Llobregat, Barcelona, Spain</t>
        </is>
      </c>
      <c r="F14">
        <f>+34 612 55 71 50</f>
        <v/>
      </c>
      <c r="H14" t="inlineStr">
        <is>
          <t>Pending</t>
        </is>
      </c>
    </row>
    <row r="15">
      <c r="A15" t="inlineStr">
        <is>
          <t>AISH PELUQUERÍA UNISEX.</t>
        </is>
      </c>
      <c r="C15" t="inlineStr">
        <is>
          <t>HAIR SALON</t>
        </is>
      </c>
      <c r="D15" t="inlineStr">
        <is>
          <t>Carrer de les Aigües del Llobregat, 81, 08905 L'Hospitalet de Llobregat, Barcelona, Spain</t>
        </is>
      </c>
      <c r="H15" t="inlineStr">
        <is>
          <t>Pending</t>
        </is>
      </c>
    </row>
    <row r="16">
      <c r="A16" t="inlineStr">
        <is>
          <t>AKRO Beauty</t>
        </is>
      </c>
      <c r="C16" t="inlineStr">
        <is>
          <t>HAIR SALON</t>
        </is>
      </c>
      <c r="D16" t="inlineStr">
        <is>
          <t>Carrer de Bailèn, 141, Eixample, 08037 Barcelona, Spain</t>
        </is>
      </c>
      <c r="F16">
        <f>+34 645 67 60 57</f>
        <v/>
      </c>
      <c r="H16" t="inlineStr">
        <is>
          <t>Pending</t>
        </is>
      </c>
    </row>
    <row r="17">
      <c r="A17" t="inlineStr">
        <is>
          <t>ALI BARBER</t>
        </is>
      </c>
      <c r="C17" t="inlineStr">
        <is>
          <t>HAIR SALON</t>
        </is>
      </c>
      <c r="D17" t="inlineStr">
        <is>
          <t>Carrer del Comte Borrell, 14, Eixample, 08015 Barcelona, Spain</t>
        </is>
      </c>
      <c r="F17">
        <f>+34 631 62 45 21</f>
        <v/>
      </c>
      <c r="H17" t="inlineStr">
        <is>
          <t>Pending</t>
        </is>
      </c>
    </row>
    <row r="18">
      <c r="A18" t="inlineStr">
        <is>
          <t>ALISADO PERMANENTE Y KERATINA FRIDA BARCELONA</t>
        </is>
      </c>
      <c r="C18" t="inlineStr">
        <is>
          <t>HAIR SALON</t>
        </is>
      </c>
      <c r="D18" t="inlineStr">
        <is>
          <t>Rambla del Brasil, 57, local 3, Sants-Montjuïc, 08028 Barcelona, Spain</t>
        </is>
      </c>
      <c r="H18" t="inlineStr">
        <is>
          <t>Pending</t>
        </is>
      </c>
    </row>
    <row r="19">
      <c r="A19" t="inlineStr">
        <is>
          <t>ALMA Hair Spa Saló - Perruqueria</t>
        </is>
      </c>
      <c r="C19" t="inlineStr">
        <is>
          <t>HAIR SALON</t>
        </is>
      </c>
      <c r="D19" t="inlineStr">
        <is>
          <t>Carrer de Balmes, 255, Sarrià-Sant Gervasi, 08006 Barcelona, Spain</t>
        </is>
      </c>
      <c r="F19">
        <f>+34 657 71 62 22</f>
        <v/>
      </c>
      <c r="G19" t="inlineStr">
        <is>
          <t>info@almasalon.es</t>
        </is>
      </c>
      <c r="H19" t="inlineStr">
        <is>
          <t>Pending</t>
        </is>
      </c>
    </row>
    <row r="20">
      <c r="A20" t="inlineStr">
        <is>
          <t>AMOORE Hair Spa</t>
        </is>
      </c>
      <c r="C20" t="inlineStr">
        <is>
          <t>HAIR SALON</t>
        </is>
      </c>
      <c r="D20" t="inlineStr">
        <is>
          <t>Carrer d'Espronceda, 102, Sant Martí, 08005 Barcelona, Spain</t>
        </is>
      </c>
      <c r="F20">
        <f>+34 603 01 50 50</f>
        <v/>
      </c>
      <c r="H20" t="inlineStr">
        <is>
          <t>Pending</t>
        </is>
      </c>
    </row>
    <row r="21">
      <c r="A21" t="inlineStr">
        <is>
          <t>ART NOUVEAU · Alisado Japonés Barcelona</t>
        </is>
      </c>
      <c r="C21" t="inlineStr">
        <is>
          <t>HAIR SALON</t>
        </is>
      </c>
      <c r="D21" t="inlineStr">
        <is>
          <t>Carrer de Roger de Flor, 159, Eixample, 08013 Barcelona, Spain</t>
        </is>
      </c>
      <c r="F21">
        <f>+34 932 65 59 61</f>
        <v/>
      </c>
      <c r="G21" t="inlineStr">
        <is>
          <t>clientes@alisadodefinitivo.com</t>
        </is>
      </c>
      <c r="H21" t="inlineStr">
        <is>
          <t>Pending</t>
        </is>
      </c>
    </row>
    <row r="22">
      <c r="A22" t="inlineStr">
        <is>
          <t>AV Plus Point - Barbería y Peluquería</t>
        </is>
      </c>
      <c r="C22" t="inlineStr">
        <is>
          <t>HAIR SALON</t>
        </is>
      </c>
      <c r="D22" t="inlineStr">
        <is>
          <t>Carrer de Sant Pacià, 16 bis, Local, Ciutat Vella, 08001 Barcelona, Spain</t>
        </is>
      </c>
      <c r="F22">
        <f>+34 644 21 71 17</f>
        <v/>
      </c>
      <c r="H22" t="inlineStr">
        <is>
          <t>Pending</t>
        </is>
      </c>
    </row>
    <row r="23">
      <c r="A23" t="inlineStr">
        <is>
          <t>AVILÉS BARBERIA TRADICIONAL</t>
        </is>
      </c>
      <c r="C23" t="inlineStr">
        <is>
          <t>HAIR SALON</t>
        </is>
      </c>
      <c r="D23" t="inlineStr">
        <is>
          <t>Carrer d'Entença, 178, Eixample, 08029 Barcelona, Spain</t>
        </is>
      </c>
      <c r="F23">
        <f>+34 653 56 50 35</f>
        <v/>
      </c>
      <c r="G23" t="inlineStr">
        <is>
          <t>hola@barberiaaviles.com</t>
        </is>
      </c>
      <c r="H23" t="inlineStr">
        <is>
          <t>Pending</t>
        </is>
      </c>
    </row>
    <row r="24">
      <c r="A24" t="inlineStr">
        <is>
          <t>Abbas peluqueria</t>
        </is>
      </c>
      <c r="C24" t="inlineStr">
        <is>
          <t>HAIR SALON</t>
        </is>
      </c>
      <c r="D24" t="inlineStr">
        <is>
          <t>Carrer de Jaume Fabra, 13, Sants-Montjuïc, 08004 Barcelona, Spain</t>
        </is>
      </c>
      <c r="F24">
        <f>+34 632 88 98 64</f>
        <v/>
      </c>
      <c r="H24" t="inlineStr">
        <is>
          <t>Pending</t>
        </is>
      </c>
    </row>
    <row r="25">
      <c r="A25" t="inlineStr">
        <is>
          <t>Academia Profesional Jara</t>
        </is>
      </c>
      <c r="C25" t="inlineStr">
        <is>
          <t>HAIR SALON</t>
        </is>
      </c>
      <c r="D25" t="inlineStr">
        <is>
          <t>Av. d'Alfons XIII, 610, 08913 Badalona, Barcelona, Spain</t>
        </is>
      </c>
      <c r="E25" t="inlineStr">
        <is>
          <t>https://www.academiajara.es/</t>
        </is>
      </c>
      <c r="F25">
        <f>+34 934 60 25 35</f>
        <v/>
      </c>
      <c r="H25" t="inlineStr">
        <is>
          <t>Pending</t>
        </is>
      </c>
    </row>
    <row r="26">
      <c r="A26" t="inlineStr">
        <is>
          <t>Adama Perruqueria Barcelona ✂</t>
        </is>
      </c>
      <c r="C26" t="inlineStr">
        <is>
          <t>HAIR SALON</t>
        </is>
      </c>
      <c r="D26" t="inlineStr">
        <is>
          <t>Carretera de la Bordeta, 38, Sants-Montjuïc, 08014 Barcelona, Spain</t>
        </is>
      </c>
      <c r="F26">
        <f>+34 612 53 73 02</f>
        <v/>
      </c>
      <c r="H26" t="inlineStr">
        <is>
          <t>Pending</t>
        </is>
      </c>
    </row>
    <row r="27">
      <c r="A27" t="inlineStr">
        <is>
          <t>Admira Medical Medicina Estética</t>
        </is>
      </c>
      <c r="C27" t="inlineStr">
        <is>
          <t>HAIR SALON</t>
        </is>
      </c>
      <c r="D27" t="inlineStr">
        <is>
          <t>Carrer del Mestre Nicolau, 8, TDA 2 a, Sarrià-Sant Gervasi, 08021 Barcelona, Spain</t>
        </is>
      </c>
      <c r="E27" t="inlineStr">
        <is>
          <t>https://www.admiramedical.com/</t>
        </is>
      </c>
      <c r="F27">
        <f>+34 936 43 06 44</f>
        <v/>
      </c>
      <c r="G27" t="inlineStr">
        <is>
          <t>info@admiramedical.com</t>
        </is>
      </c>
      <c r="H27" t="inlineStr">
        <is>
          <t>Pending</t>
        </is>
      </c>
    </row>
    <row r="28">
      <c r="A28" t="inlineStr">
        <is>
          <t>Aduho Barcelona</t>
        </is>
      </c>
      <c r="C28" t="inlineStr">
        <is>
          <t>HAIR SALON</t>
        </is>
      </c>
      <c r="D28" t="inlineStr">
        <is>
          <t>Carrer del Rosselló, 291, Eixample, 08037 Barcelona, Spain</t>
        </is>
      </c>
      <c r="F28">
        <f>+34 934 76 17 88</f>
        <v/>
      </c>
      <c r="H28" t="inlineStr">
        <is>
          <t>Pending</t>
        </is>
      </c>
    </row>
    <row r="29">
      <c r="A29" t="inlineStr">
        <is>
          <t>Afro BARBERS All STYLES Barcelona. Vinzbarbershop</t>
        </is>
      </c>
      <c r="C29" t="inlineStr">
        <is>
          <t>HAIR SALON</t>
        </is>
      </c>
      <c r="D29" t="inlineStr">
        <is>
          <t>Carrer de la Lleialtat, 6, Ciutat Vella, 08001 Barcelona, Spain</t>
        </is>
      </c>
      <c r="F29">
        <f>+34 611 33 60 94</f>
        <v/>
      </c>
      <c r="H29" t="inlineStr">
        <is>
          <t>Pending</t>
        </is>
      </c>
    </row>
    <row r="30">
      <c r="A30" t="inlineStr">
        <is>
          <t>After work Barberia</t>
        </is>
      </c>
      <c r="C30" t="inlineStr">
        <is>
          <t>HAIR SALON</t>
        </is>
      </c>
      <c r="D30" t="inlineStr">
        <is>
          <t>Carrer de Vilamarí, 26-1, Eixample, 08015 Barcelona, Spain</t>
        </is>
      </c>
      <c r="F30">
        <f>+34 617 16 86 71</f>
        <v/>
      </c>
      <c r="H30" t="inlineStr">
        <is>
          <t>Pending</t>
        </is>
      </c>
    </row>
    <row r="31">
      <c r="A31" t="inlineStr">
        <is>
          <t>Agustí Perruquers</t>
        </is>
      </c>
      <c r="C31" t="inlineStr">
        <is>
          <t>HAIR SALON</t>
        </is>
      </c>
      <c r="D31" t="inlineStr">
        <is>
          <t>Carrer del Comandant Benítez, 20, Les Corts, 08028 Barcelona, Spain</t>
        </is>
      </c>
      <c r="F31">
        <f>+34 934 90 94 39</f>
        <v/>
      </c>
      <c r="H31" t="inlineStr">
        <is>
          <t>Pending</t>
        </is>
      </c>
    </row>
    <row r="32">
      <c r="A32" t="inlineStr">
        <is>
          <t>Agustín Estilistes</t>
        </is>
      </c>
      <c r="C32" t="inlineStr">
        <is>
          <t>HAIR SALON</t>
        </is>
      </c>
      <c r="D32" t="inlineStr">
        <is>
          <t>Carrer de Còrsega, 181, Local, Eixample, 08036 Barcelona, Spain</t>
        </is>
      </c>
      <c r="F32">
        <f>+34 934 39 25 82</f>
        <v/>
      </c>
      <c r="G32" t="inlineStr">
        <is>
          <t>agustinestilistas1@gmail.com</t>
        </is>
      </c>
      <c r="H32" t="inlineStr">
        <is>
          <t>Pending</t>
        </is>
      </c>
    </row>
    <row r="33">
      <c r="A33" t="inlineStr">
        <is>
          <t>Ale Nails Barcelona</t>
        </is>
      </c>
      <c r="C33" t="inlineStr">
        <is>
          <t>HAIR SALON</t>
        </is>
      </c>
      <c r="D33" t="inlineStr">
        <is>
          <t>Carrer del Comte d'Urgell, 23, Eixample, 08011 Barcelona, Spain</t>
        </is>
      </c>
      <c r="F33">
        <f>+34 610 91 48 82</f>
        <v/>
      </c>
      <c r="G33" t="inlineStr">
        <is>
          <t>help.es@booksy.com</t>
        </is>
      </c>
      <c r="H33" t="inlineStr">
        <is>
          <t>Pending</t>
        </is>
      </c>
    </row>
    <row r="34">
      <c r="A34" t="inlineStr">
        <is>
          <t>Alicia Salvo Micropigmentación</t>
        </is>
      </c>
      <c r="C34" t="inlineStr">
        <is>
          <t>HAIR SALON</t>
        </is>
      </c>
      <c r="D34" t="inlineStr">
        <is>
          <t>Avinguda dels Germans Gabrielistes, 13, Local 1, 08840 Viladecans, Barcelona, Spain</t>
        </is>
      </c>
      <c r="E34" t="inlineStr">
        <is>
          <t>https://aliciasalvo.com/tratamientos-de-micropigmentacion/</t>
        </is>
      </c>
      <c r="F34">
        <f>+34 669 33 12 35</f>
        <v/>
      </c>
      <c r="G34" t="inlineStr">
        <is>
          <t>info@aliciasalvo.com</t>
        </is>
      </c>
      <c r="H34" t="inlineStr">
        <is>
          <t>Pending</t>
        </is>
      </c>
    </row>
    <row r="35">
      <c r="A35" t="inlineStr">
        <is>
          <t>Aliona Peluqueria</t>
        </is>
      </c>
      <c r="C35" t="inlineStr">
        <is>
          <t>HAIR SALON</t>
        </is>
      </c>
      <c r="D35" t="inlineStr">
        <is>
          <t>Carrer de Sant Germà, 7, Sants-Montjuïc, 08004 Barcelona, Spain</t>
        </is>
      </c>
      <c r="F35">
        <f>+34 936 03 10 60</f>
        <v/>
      </c>
      <c r="G35" t="inlineStr">
        <is>
          <t>info@alionapeluqueria.com</t>
        </is>
      </c>
      <c r="H35" t="inlineStr">
        <is>
          <t>Pending</t>
        </is>
      </c>
    </row>
    <row r="36">
      <c r="A36" t="inlineStr">
        <is>
          <t>Alma Molinet Imatge</t>
        </is>
      </c>
      <c r="C36" t="inlineStr">
        <is>
          <t>HAIR SALON</t>
        </is>
      </c>
      <c r="D36" t="inlineStr">
        <is>
          <t>Av. de Sant Ramon Nonat, 26, Les Corts, 08028 Barcelona, Spain</t>
        </is>
      </c>
      <c r="F36">
        <f>+34 646 85 42 85</f>
        <v/>
      </c>
      <c r="H36" t="inlineStr">
        <is>
          <t>Pending</t>
        </is>
      </c>
    </row>
    <row r="37">
      <c r="A37" t="inlineStr">
        <is>
          <t>Alta peluquería Sexy Light</t>
        </is>
      </c>
      <c r="C37" t="inlineStr">
        <is>
          <t>HAIR SALON</t>
        </is>
      </c>
      <c r="D37" t="inlineStr">
        <is>
          <t>Carrer Nou de la Rambla, 149, Sants-Montjuïc, 08004 Barcelona, Spain</t>
        </is>
      </c>
      <c r="F37">
        <f>+34 651 63 10 81</f>
        <v/>
      </c>
      <c r="H37" t="inlineStr">
        <is>
          <t>Pending</t>
        </is>
      </c>
    </row>
    <row r="38">
      <c r="A38" t="inlineStr">
        <is>
          <t>Alura Multiespai Beauty &amp; Wellness</t>
        </is>
      </c>
      <c r="C38" t="inlineStr">
        <is>
          <t>HAIR SALON</t>
        </is>
      </c>
      <c r="D38" t="inlineStr">
        <is>
          <t>Carrer de Joan Güell, 236, Les Corts, 08028 Barcelona, Spain</t>
        </is>
      </c>
      <c r="E38" t="inlineStr">
        <is>
          <t>https://alurabeauty.com/</t>
        </is>
      </c>
      <c r="F38">
        <f>+34 937 61 71 24</f>
        <v/>
      </c>
      <c r="G38" t="inlineStr">
        <is>
          <t>hello@alurabeauty.com</t>
        </is>
      </c>
      <c r="H38" t="inlineStr">
        <is>
          <t>Pending</t>
        </is>
      </c>
    </row>
    <row r="39">
      <c r="A39" t="inlineStr">
        <is>
          <t>Alvarado Barbershop</t>
        </is>
      </c>
      <c r="C39" t="inlineStr">
        <is>
          <t>HAIR SALON</t>
        </is>
      </c>
      <c r="D39" t="inlineStr">
        <is>
          <t>Rambla de Badal, 36, Sants-Montjuïc, 08014 Barcelona, Spain</t>
        </is>
      </c>
      <c r="F39">
        <f>+34 664 43 95 29</f>
        <v/>
      </c>
      <c r="H39" t="inlineStr">
        <is>
          <t>Pending</t>
        </is>
      </c>
    </row>
    <row r="40">
      <c r="A40" t="inlineStr">
        <is>
          <t>Ana Gago Hair Salon - Perruqueria Barcelona</t>
        </is>
      </c>
      <c r="C40" t="inlineStr">
        <is>
          <t>HAIR SALON</t>
        </is>
      </c>
      <c r="D40" t="inlineStr">
        <is>
          <t>Carrer de la Diputació, 410, Local 1, Eixample, 08013 Barcelona, Spain</t>
        </is>
      </c>
      <c r="F40">
        <f>+34 658 15 44 62</f>
        <v/>
      </c>
      <c r="G40" t="inlineStr">
        <is>
          <t>help.es@booksy.com</t>
        </is>
      </c>
      <c r="H40" t="inlineStr">
        <is>
          <t>Pending</t>
        </is>
      </c>
    </row>
    <row r="41">
      <c r="A41" t="inlineStr">
        <is>
          <t>Anabella Azzollini hair studio</t>
        </is>
      </c>
      <c r="C41" t="inlineStr">
        <is>
          <t>HAIR SALON</t>
        </is>
      </c>
      <c r="D41" t="inlineStr">
        <is>
          <t>Carrer Mossèn Santiago Oliveras, 6, bajos, 08901 L'Hospitalet de Llobregat, Barcelona, Spain</t>
        </is>
      </c>
      <c r="F41">
        <f>+34 680 77 85 96</f>
        <v/>
      </c>
      <c r="H41" t="inlineStr">
        <is>
          <t>Pending</t>
        </is>
      </c>
    </row>
    <row r="42">
      <c r="A42" t="inlineStr">
        <is>
          <t>Andrea Valencia Studio</t>
        </is>
      </c>
      <c r="C42" t="inlineStr">
        <is>
          <t>HAIR SALON</t>
        </is>
      </c>
      <c r="D42" t="inlineStr">
        <is>
          <t>Carrer de la Independència, 230, local, Sant Martí, 08026 Barcelona, Spain</t>
        </is>
      </c>
      <c r="E42" t="inlineStr">
        <is>
          <t>http://www.studioandreavalencia.com/</t>
        </is>
      </c>
      <c r="F42">
        <f>+34 930 38 65 66</f>
        <v/>
      </c>
      <c r="H42" t="inlineStr">
        <is>
          <t>Pending</t>
        </is>
      </c>
    </row>
    <row r="43">
      <c r="A43" t="inlineStr">
        <is>
          <t>Anna Padullés Micropigmentación</t>
        </is>
      </c>
      <c r="C43" t="inlineStr">
        <is>
          <t>HAIR SALON</t>
        </is>
      </c>
      <c r="D43" t="inlineStr">
        <is>
          <t>Gran Via de Carles III, 65, Local, Les Corts, 08028 Barcelona, Spain</t>
        </is>
      </c>
      <c r="E43" t="inlineStr">
        <is>
          <t>https://annapadulles.com/</t>
        </is>
      </c>
      <c r="F43">
        <f>+34 934 87 02 13</f>
        <v/>
      </c>
      <c r="H43" t="inlineStr">
        <is>
          <t>Pending</t>
        </is>
      </c>
    </row>
    <row r="44">
      <c r="A44" t="inlineStr">
        <is>
          <t>Anny's Beauty Salon</t>
        </is>
      </c>
      <c r="C44" t="inlineStr">
        <is>
          <t>HAIR SALON</t>
        </is>
      </c>
      <c r="D44" t="inlineStr">
        <is>
          <t>Carrer d'Estruc, 12, Ciutat Vella, 08002 Barcelona, Spain</t>
        </is>
      </c>
      <c r="F44">
        <f>+34 930 04 91 91</f>
        <v/>
      </c>
      <c r="H44" t="inlineStr">
        <is>
          <t>Pending</t>
        </is>
      </c>
    </row>
    <row r="45">
      <c r="A45" t="inlineStr">
        <is>
          <t>Antonucci Barber</t>
        </is>
      </c>
      <c r="C45" t="inlineStr">
        <is>
          <t>HAIR SALON</t>
        </is>
      </c>
      <c r="D45" t="inlineStr">
        <is>
          <t>Carrer de Provença, 130, Eixample, 08029 Barcelona, Spain</t>
        </is>
      </c>
      <c r="F45">
        <f>+34 931 54 83 66</f>
        <v/>
      </c>
      <c r="H45" t="inlineStr">
        <is>
          <t>Pending</t>
        </is>
      </c>
    </row>
    <row r="46">
      <c r="A46" t="inlineStr">
        <is>
          <t>Anukis Barber Lounge</t>
        </is>
      </c>
      <c r="C46" t="inlineStr">
        <is>
          <t>HAIR SALON</t>
        </is>
      </c>
      <c r="D46" t="inlineStr">
        <is>
          <t>C. de Gravina, 10, Ciutat Vella, 08001 Barcelona, Spain</t>
        </is>
      </c>
      <c r="F46">
        <f>+34 671 94 18 36</f>
        <v/>
      </c>
      <c r="G46" t="inlineStr">
        <is>
          <t>help.es@booksy.com</t>
        </is>
      </c>
      <c r="H46" t="inlineStr">
        <is>
          <t>Pending</t>
        </is>
      </c>
    </row>
    <row r="47">
      <c r="A47" t="inlineStr">
        <is>
          <t>Aragó Estilistes</t>
        </is>
      </c>
      <c r="C47" t="inlineStr">
        <is>
          <t>HAIR SALON</t>
        </is>
      </c>
      <c r="D47" t="inlineStr">
        <is>
          <t>Carrer de l'Alegria, 10, 08950 Esplugues de Llobregat, Barcelona, Spain</t>
        </is>
      </c>
      <c r="F47">
        <f>+34 934 99 09 76</f>
        <v/>
      </c>
      <c r="H47" t="inlineStr">
        <is>
          <t>Pending</t>
        </is>
      </c>
    </row>
    <row r="48">
      <c r="A48" t="inlineStr">
        <is>
          <t>Aralk Salón</t>
        </is>
      </c>
      <c r="C48" t="inlineStr">
        <is>
          <t>HAIR SALON</t>
        </is>
      </c>
      <c r="D48" t="inlineStr">
        <is>
          <t>Ctra. de l'Hospitalet, 406, LOCAL, 08940 Cornellà de Llobregat, Barcelona, Spain</t>
        </is>
      </c>
      <c r="F48">
        <f>+34 624 50 10 24</f>
        <v/>
      </c>
      <c r="H48" t="inlineStr">
        <is>
          <t>Pending</t>
        </is>
      </c>
    </row>
    <row r="49">
      <c r="A49" t="inlineStr">
        <is>
          <t>Area Barbershop Barberia</t>
        </is>
      </c>
      <c r="C49" t="inlineStr">
        <is>
          <t>HAIR SALON</t>
        </is>
      </c>
      <c r="D49" t="inlineStr">
        <is>
          <t>Carrer de Floridablanca, 1, Eixample, 08015 Barcelona, Spain</t>
        </is>
      </c>
      <c r="F49">
        <f>+34 624 01 76 41</f>
        <v/>
      </c>
      <c r="G49" t="inlineStr">
        <is>
          <t>info.areabcn@gmail.com</t>
        </is>
      </c>
      <c r="H49" t="inlineStr">
        <is>
          <t>Pending</t>
        </is>
      </c>
    </row>
    <row r="50">
      <c r="A50" t="inlineStr">
        <is>
          <t>Arruiz Imatge</t>
        </is>
      </c>
      <c r="C50" t="inlineStr">
        <is>
          <t>HAIR SALON</t>
        </is>
      </c>
      <c r="D50" t="inlineStr">
        <is>
          <t>Carrer del Consell de Cent, 10, Sants-Montjuïc, 08014 Barcelona, Spain</t>
        </is>
      </c>
      <c r="F50">
        <f>+34 934 32 23 23</f>
        <v/>
      </c>
      <c r="H50" t="inlineStr">
        <is>
          <t>Pending</t>
        </is>
      </c>
    </row>
    <row r="51">
      <c r="A51" t="inlineStr">
        <is>
          <t>Asikalados Barber Studio</t>
        </is>
      </c>
      <c r="C51" t="inlineStr">
        <is>
          <t>HAIR SALON</t>
        </is>
      </c>
      <c r="D51" t="inlineStr">
        <is>
          <t>Avinguda de Roma, 151, Local 2, Eixample, 08011 Barcelona, Spain</t>
        </is>
      </c>
      <c r="F51">
        <f>+34 936 43 04 74</f>
        <v/>
      </c>
      <c r="H51" t="inlineStr">
        <is>
          <t>Pending</t>
        </is>
      </c>
    </row>
    <row r="52">
      <c r="A52" t="inlineStr">
        <is>
          <t>Aslan Cirugía Plástica</t>
        </is>
      </c>
      <c r="C52" t="inlineStr">
        <is>
          <t>HAIR SALON</t>
        </is>
      </c>
      <c r="D52" t="inlineStr">
        <is>
          <t>Via Augusta, 237, Sarrià-Sant Gervasi, 08021 Barcelona, Spain</t>
        </is>
      </c>
      <c r="E52" t="inlineStr">
        <is>
          <t>http://www.aslancapilar.com/</t>
        </is>
      </c>
      <c r="F52">
        <f>+34 686 68 87 41</f>
        <v/>
      </c>
      <c r="H52" t="inlineStr">
        <is>
          <t>Pending</t>
        </is>
      </c>
    </row>
    <row r="53">
      <c r="A53" t="inlineStr">
        <is>
          <t>Aude Perruqueria</t>
        </is>
      </c>
      <c r="C53" t="inlineStr">
        <is>
          <t>HAIR SALON</t>
        </is>
      </c>
      <c r="D53" t="inlineStr">
        <is>
          <t>Av. Diagonal, 319 BIS, Eixample, 08009 Barcelona, Spain</t>
        </is>
      </c>
      <c r="F53">
        <f>+34 935 25 18 44</f>
        <v/>
      </c>
      <c r="H53" t="inlineStr">
        <is>
          <t>Pending</t>
        </is>
      </c>
    </row>
    <row r="54">
      <c r="A54" t="inlineStr">
        <is>
          <t>BARBERSHOP URBAN CUTS barcelona</t>
        </is>
      </c>
      <c r="C54" t="inlineStr">
        <is>
          <t>HAIR SALON</t>
        </is>
      </c>
      <c r="D54" t="inlineStr">
        <is>
          <t>Carrer de Calàbria, 290, Eixample, 08029 Barcelona, Spain</t>
        </is>
      </c>
      <c r="F54">
        <f>+34 613 02 82 48</f>
        <v/>
      </c>
      <c r="G54" t="inlineStr">
        <is>
          <t>info@barbershopurbancuts.com</t>
        </is>
      </c>
      <c r="H54" t="inlineStr">
        <is>
          <t>Pending</t>
        </is>
      </c>
    </row>
    <row r="55">
      <c r="A55" t="inlineStr">
        <is>
          <t>BIONDO – Barberia, Perruqueria i Acadèmia</t>
        </is>
      </c>
      <c r="C55" t="inlineStr">
        <is>
          <t>HAIR SALON</t>
        </is>
      </c>
      <c r="D55" t="inlineStr">
        <is>
          <t>Carrer de Balmes, 61, Eixample, 08007 Barcelona, Spain</t>
        </is>
      </c>
      <c r="F55">
        <f>+34 676 87 71 77</f>
        <v/>
      </c>
      <c r="G55" t="inlineStr">
        <is>
          <t>biondobalmes61@gmail.com</t>
        </is>
      </c>
      <c r="H55" t="inlineStr">
        <is>
          <t>Pending</t>
        </is>
      </c>
    </row>
    <row r="56">
      <c r="A56" t="inlineStr">
        <is>
          <t>BIOhair Barcelona Hairsalon</t>
        </is>
      </c>
      <c r="C56" t="inlineStr">
        <is>
          <t>HAIR SALON</t>
        </is>
      </c>
      <c r="D56" t="inlineStr">
        <is>
          <t>Carrer de Viladomat, 245, Eixample, 08029 Barcelona, Spain</t>
        </is>
      </c>
      <c r="F56">
        <f>+34 651 07 99 73</f>
        <v/>
      </c>
      <c r="H56" t="inlineStr">
        <is>
          <t>Pending</t>
        </is>
      </c>
    </row>
    <row r="57">
      <c r="A57" t="inlineStr">
        <is>
          <t>BLACKBEARD Barbershop - Barcelona</t>
        </is>
      </c>
      <c r="C57" t="inlineStr">
        <is>
          <t>HAIR SALON</t>
        </is>
      </c>
      <c r="D57" t="inlineStr">
        <is>
          <t>Carrer d'Aribau, 149, Eixample, 08036 Barcelona, Spain</t>
        </is>
      </c>
      <c r="F57">
        <f>+34 931 56 40 48</f>
        <v/>
      </c>
      <c r="G57" t="inlineStr">
        <is>
          <t>contact@barbershopblackbeard.com</t>
        </is>
      </c>
      <c r="H57" t="inlineStr">
        <is>
          <t>Pending</t>
        </is>
      </c>
    </row>
    <row r="58">
      <c r="A58" t="inlineStr">
        <is>
          <t>BLESS BARBER SHOP MUNTANER BARBERÍA PREMIUM</t>
        </is>
      </c>
      <c r="C58" t="inlineStr">
        <is>
          <t>HAIR SALON</t>
        </is>
      </c>
      <c r="D58" t="inlineStr">
        <is>
          <t>C/ de Muntaner, 147, local 2, Eixample, 08036 Barcelona, Spain</t>
        </is>
      </c>
      <c r="F58">
        <f>+34 936 27 88 72</f>
        <v/>
      </c>
      <c r="H58" t="inlineStr">
        <is>
          <t>Pending</t>
        </is>
      </c>
    </row>
    <row r="59">
      <c r="A59" t="inlineStr">
        <is>
          <t>BLESS BARBER SHOP URGELL BARBERIA PREMIUM</t>
        </is>
      </c>
      <c r="C59" t="inlineStr">
        <is>
          <t>HAIR SALON</t>
        </is>
      </c>
      <c r="D59" t="inlineStr">
        <is>
          <t>Carrer del Comte d'Urgell, 139, Eixample, 08036 Barcelona, Spain</t>
        </is>
      </c>
      <c r="F59">
        <f>+34 936 27 88 72</f>
        <v/>
      </c>
      <c r="H59" t="inlineStr">
        <is>
          <t>Pending</t>
        </is>
      </c>
    </row>
    <row r="60">
      <c r="A60" t="inlineStr">
        <is>
          <t>Backstage BCN - Estética y Peluquería Eixample</t>
        </is>
      </c>
      <c r="C60" t="inlineStr">
        <is>
          <t>HAIR SALON</t>
        </is>
      </c>
      <c r="D60" t="inlineStr">
        <is>
          <t>Passatge de Domingo, 11, Eixample, 08007 Barcelona, Spain</t>
        </is>
      </c>
      <c r="F60">
        <f>+34 932 15 53 53</f>
        <v/>
      </c>
      <c r="G60" t="inlineStr">
        <is>
          <t>info@backstagebcn.com</t>
        </is>
      </c>
      <c r="H60" t="inlineStr">
        <is>
          <t>Pending</t>
        </is>
      </c>
    </row>
    <row r="61">
      <c r="A61" t="inlineStr">
        <is>
          <t>Backstage BCN Diagonal</t>
        </is>
      </c>
      <c r="C61" t="inlineStr">
        <is>
          <t>HAIR SALON</t>
        </is>
      </c>
      <c r="D61" t="inlineStr">
        <is>
          <t>Av. Diagonal, 624, Sarrià-Sant Gervasi, 08021 Barcelona, Spain</t>
        </is>
      </c>
      <c r="F61">
        <f>+34 932 40 55 11</f>
        <v/>
      </c>
      <c r="G61" t="inlineStr">
        <is>
          <t>info@backstagebcn.com</t>
        </is>
      </c>
      <c r="H61" t="inlineStr">
        <is>
          <t>Pending</t>
        </is>
      </c>
    </row>
    <row r="62">
      <c r="A62" t="inlineStr">
        <is>
          <t>Bafalluy Barbers - Barbería masculina en Barcelona</t>
        </is>
      </c>
      <c r="C62" t="inlineStr">
        <is>
          <t>HAIR SALON</t>
        </is>
      </c>
      <c r="D62" t="inlineStr">
        <is>
          <t>Carrer de Calàbria, 60, Eixample, 08015 Barcelona, Spain</t>
        </is>
      </c>
      <c r="F62">
        <f>+34 637 67 62 10</f>
        <v/>
      </c>
      <c r="G62" t="inlineStr">
        <is>
          <t>info@bafalluybarbers.com</t>
        </is>
      </c>
      <c r="H62" t="inlineStr">
        <is>
          <t>Pending</t>
        </is>
      </c>
    </row>
    <row r="63">
      <c r="A63" t="inlineStr">
        <is>
          <t>Bajomisombrero</t>
        </is>
      </c>
      <c r="C63" t="inlineStr">
        <is>
          <t>HAIR SALON</t>
        </is>
      </c>
      <c r="D63" t="inlineStr">
        <is>
          <t>Carrer de Guitard, 25, Sants-Montjuïc, 08028 Barcelona, Spain</t>
        </is>
      </c>
      <c r="F63">
        <f>+34 680 28 48 56</f>
        <v/>
      </c>
      <c r="H63" t="inlineStr">
        <is>
          <t>Pending</t>
        </is>
      </c>
    </row>
    <row r="64">
      <c r="A64" t="inlineStr">
        <is>
          <t>Ballester Barber Shop</t>
        </is>
      </c>
      <c r="C64" t="inlineStr">
        <is>
          <t>HAIR SALON</t>
        </is>
      </c>
      <c r="D64" t="inlineStr">
        <is>
          <t>Local 34, Gran Via de les Corts Catalanes, 164, 08038 Barcelona, Spain</t>
        </is>
      </c>
      <c r="F64">
        <f>+34 932 98 83 47</f>
        <v/>
      </c>
      <c r="G64" t="inlineStr">
        <is>
          <t>info@ballesterbarbershop.com</t>
        </is>
      </c>
      <c r="H64" t="inlineStr">
        <is>
          <t>Pending</t>
        </is>
      </c>
    </row>
    <row r="65">
      <c r="A65" t="inlineStr">
        <is>
          <t>Barba Negra Bcn Barbershop</t>
        </is>
      </c>
      <c r="C65" t="inlineStr">
        <is>
          <t>HAIR SALON</t>
        </is>
      </c>
      <c r="D65" t="inlineStr">
        <is>
          <t>Carrer de Pau Sans, 26, 08901 L'Hospitalet de Llobregat, Barcelona, Spain</t>
        </is>
      </c>
      <c r="F65">
        <f>+34 933 37 93 65</f>
        <v/>
      </c>
      <c r="H65" t="inlineStr">
        <is>
          <t>Pending</t>
        </is>
      </c>
    </row>
    <row r="66">
      <c r="A66" t="inlineStr">
        <is>
          <t>Barber Barcelona 1919</t>
        </is>
      </c>
      <c r="C66" t="inlineStr">
        <is>
          <t>HAIR SALON</t>
        </is>
      </c>
      <c r="D66" t="inlineStr">
        <is>
          <t>Rda. de Sant Pere, 74, Eixample, 08010 Barcelona, Spain</t>
        </is>
      </c>
      <c r="F66">
        <f>+34 652 69 20 94</f>
        <v/>
      </c>
      <c r="G66" t="inlineStr">
        <is>
          <t>adolfperruquers@hotmail.com</t>
        </is>
      </c>
      <c r="H66" t="inlineStr">
        <is>
          <t>Pending</t>
        </is>
      </c>
    </row>
    <row r="67">
      <c r="A67" t="inlineStr">
        <is>
          <t>Barber CM</t>
        </is>
      </c>
      <c r="C67" t="inlineStr">
        <is>
          <t>HAIR SALON</t>
        </is>
      </c>
      <c r="D67" t="inlineStr">
        <is>
          <t>Carrer de Sant Pere Més Baix, 39, Ciutat Vella, 08003 Barcelona, Spain</t>
        </is>
      </c>
      <c r="F67">
        <f>+34 684 76 24 89</f>
        <v/>
      </c>
      <c r="G67" t="inlineStr">
        <is>
          <t>help.es@booksy.com</t>
        </is>
      </c>
      <c r="H67" t="inlineStr">
        <is>
          <t>Pending</t>
        </is>
      </c>
    </row>
    <row r="68">
      <c r="A68" t="inlineStr">
        <is>
          <t>Barber Shop 88</t>
        </is>
      </c>
      <c r="C68" t="inlineStr">
        <is>
          <t>HAIR SALON</t>
        </is>
      </c>
      <c r="D68" t="inlineStr">
        <is>
          <t>Carrer la Menta, 14, Local 6, 08950 Esplugues de Llobregat, Barcelona, Spain</t>
        </is>
      </c>
      <c r="F68">
        <f>+34 663 04 97 06</f>
        <v/>
      </c>
      <c r="H68" t="inlineStr">
        <is>
          <t>Pending</t>
        </is>
      </c>
    </row>
    <row r="69">
      <c r="A69" t="inlineStr">
        <is>
          <t>Barber Shop Hospitalet</t>
        </is>
      </c>
      <c r="C69" t="inlineStr">
        <is>
          <t>HAIR SALON</t>
        </is>
      </c>
      <c r="D69" t="inlineStr">
        <is>
          <t>Carrer Santa Eulàlia, 158, 08902 L'Hospitalet de Llobregat, Barcelona, Spain</t>
        </is>
      </c>
      <c r="F69">
        <f>+34 617 98 59 05</f>
        <v/>
      </c>
      <c r="H69" t="inlineStr">
        <is>
          <t>Pending</t>
        </is>
      </c>
    </row>
    <row r="70">
      <c r="A70" t="inlineStr">
        <is>
          <t>Barber Shop | Barcelona Premium Afro</t>
        </is>
      </c>
      <c r="C70" t="inlineStr">
        <is>
          <t>HAIR SALON</t>
        </is>
      </c>
      <c r="D70" t="inlineStr">
        <is>
          <t>Carrer del Parlament, 36-38, Eixample, 08015 Barcelona, Spain</t>
        </is>
      </c>
      <c r="F70">
        <f>+34 722 75 30 69</f>
        <v/>
      </c>
      <c r="H70" t="inlineStr">
        <is>
          <t>Pending</t>
        </is>
      </c>
    </row>
    <row r="71">
      <c r="A71" t="inlineStr">
        <is>
          <t>Barber shop Barcelona jaison</t>
        </is>
      </c>
      <c r="C71" t="inlineStr">
        <is>
          <t>HAIR SALON</t>
        </is>
      </c>
      <c r="D71" t="inlineStr">
        <is>
          <t>Barber shop jaison oficial, Carrer de Galileu, 144, Sants-Montjuïc, 08028 Barcelona, Spain</t>
        </is>
      </c>
      <c r="F71">
        <f>+34 605 55 32 08</f>
        <v/>
      </c>
      <c r="H71" t="inlineStr">
        <is>
          <t>Pending</t>
        </is>
      </c>
    </row>
    <row r="72">
      <c r="A72" t="inlineStr">
        <is>
          <t>Barber shop Id</t>
        </is>
      </c>
      <c r="C72" t="inlineStr">
        <is>
          <t>HAIR SALON</t>
        </is>
      </c>
      <c r="D72" t="inlineStr">
        <is>
          <t>Carrer Nou de la Rambla, 97, Ciutat Vella, 08001 Barcelona, Spain</t>
        </is>
      </c>
      <c r="F72">
        <f>+34 632 15 41 54</f>
        <v/>
      </c>
      <c r="H72" t="inlineStr">
        <is>
          <t>Pending</t>
        </is>
      </c>
    </row>
    <row r="73">
      <c r="A73" t="inlineStr">
        <is>
          <t>Barber shop Mk</t>
        </is>
      </c>
      <c r="C73" t="inlineStr">
        <is>
          <t>HAIR SALON</t>
        </is>
      </c>
      <c r="D73" t="inlineStr">
        <is>
          <t>Carrer del Comandant Benítez, 13, Les Corts, 08028 Barcelona, Spain</t>
        </is>
      </c>
      <c r="F73">
        <f>+34 614 68 63 27</f>
        <v/>
      </c>
      <c r="H73" t="inlineStr">
        <is>
          <t>Pending</t>
        </is>
      </c>
    </row>
    <row r="74">
      <c r="A74" t="inlineStr">
        <is>
          <t>Barberia Alvaro Lucena</t>
        </is>
      </c>
      <c r="C74" t="inlineStr">
        <is>
          <t>HAIR SALON</t>
        </is>
      </c>
      <c r="D74" t="inlineStr">
        <is>
          <t>Carrer de Casanova, 96, Eixample, 08011 Barcelona, Spain</t>
        </is>
      </c>
      <c r="F74">
        <f>+34 606 53 14 22</f>
        <v/>
      </c>
      <c r="H74" t="inlineStr">
        <is>
          <t>Pending</t>
        </is>
      </c>
    </row>
    <row r="75">
      <c r="A75" t="inlineStr">
        <is>
          <t>Barberia Aveiro</t>
        </is>
      </c>
      <c r="C75" t="inlineStr">
        <is>
          <t>HAIR SALON</t>
        </is>
      </c>
      <c r="D75" t="inlineStr">
        <is>
          <t>Carrer de Provença, 95, Eixample, 08029 Barcelona, Spain</t>
        </is>
      </c>
      <c r="F75">
        <f>+34 611 24 87 66</f>
        <v/>
      </c>
      <c r="G75" t="inlineStr">
        <is>
          <t>help.es@booksy.com</t>
        </is>
      </c>
      <c r="H75" t="inlineStr">
        <is>
          <t>Pending</t>
        </is>
      </c>
    </row>
    <row r="76">
      <c r="A76" t="inlineStr">
        <is>
          <t>Barberia Barcelona Razors</t>
        </is>
      </c>
      <c r="C76" t="inlineStr">
        <is>
          <t>HAIR SALON</t>
        </is>
      </c>
      <c r="D76" t="inlineStr">
        <is>
          <t>Carrer de Piquer, 49, Sants-Montjuïc, 08004 Barcelona, Spain</t>
        </is>
      </c>
      <c r="F76">
        <f>+34 633 21 53 91</f>
        <v/>
      </c>
      <c r="H76" t="inlineStr">
        <is>
          <t>Pending</t>
        </is>
      </c>
    </row>
    <row r="77">
      <c r="A77" t="inlineStr">
        <is>
          <t>Barberia Big Bang | Barcelona</t>
        </is>
      </c>
      <c r="C77" t="inlineStr">
        <is>
          <t>HAIR SALON</t>
        </is>
      </c>
      <c r="D77" t="inlineStr">
        <is>
          <t>Carrer de València, 120, Eixample, 08015 Barcelona, Spain</t>
        </is>
      </c>
      <c r="F77">
        <f>+34 935 25 51 02</f>
        <v/>
      </c>
      <c r="H77" t="inlineStr">
        <is>
          <t>Pending</t>
        </is>
      </c>
    </row>
    <row r="78">
      <c r="A78" t="inlineStr">
        <is>
          <t>Barberia Fernando</t>
        </is>
      </c>
      <c r="C78" t="inlineStr">
        <is>
          <t>HAIR SALON</t>
        </is>
      </c>
      <c r="D78" t="inlineStr">
        <is>
          <t>Carrer de Manuel de Falla, 22, Sarrià-Sant Gervasi, 08034 Barcelona, Spain</t>
        </is>
      </c>
      <c r="F78">
        <f>+34 632 85 03 59</f>
        <v/>
      </c>
      <c r="H78" t="inlineStr">
        <is>
          <t>Pending</t>
        </is>
      </c>
    </row>
    <row r="79">
      <c r="A79" t="inlineStr">
        <is>
          <t>Barberia Güell (Barber Shop)</t>
        </is>
      </c>
      <c r="C79" t="inlineStr">
        <is>
          <t>HAIR SALON</t>
        </is>
      </c>
      <c r="D79" t="inlineStr">
        <is>
          <t>Carrer de Joan Güell, 66, Sants-Montjuïc, 08028 Barcelona, Spain</t>
        </is>
      </c>
      <c r="F79">
        <f>+34 934 09 49 09</f>
        <v/>
      </c>
      <c r="H79" t="inlineStr">
        <is>
          <t>Pending</t>
        </is>
      </c>
    </row>
    <row r="80">
      <c r="A80" t="inlineStr">
        <is>
          <t>Barberia Latín Art / Peluqueria Unisex Barber Shop</t>
        </is>
      </c>
      <c r="C80" t="inlineStr">
        <is>
          <t>HAIR SALON</t>
        </is>
      </c>
      <c r="D80" t="inlineStr">
        <is>
          <t>Rambla del Brasil, 23, Sants-Montjuïc, 08028 Barcelona, Spain</t>
        </is>
      </c>
      <c r="F80">
        <f>+34 653 14 92 10</f>
        <v/>
      </c>
      <c r="H80" t="inlineStr">
        <is>
          <t>Pending</t>
        </is>
      </c>
    </row>
    <row r="81">
      <c r="A81" t="inlineStr">
        <is>
          <t>Barberia Manolo's Centenària</t>
        </is>
      </c>
      <c r="C81" t="inlineStr">
        <is>
          <t>HAIR SALON</t>
        </is>
      </c>
      <c r="D81" t="inlineStr">
        <is>
          <t>Carrer dels Escudellers, 12, Ciutat Vella, 08002 Barcelona, Spain</t>
        </is>
      </c>
      <c r="F81">
        <f>+34 637 80 93 22</f>
        <v/>
      </c>
      <c r="G81" t="inlineStr">
        <is>
          <t>peluqueriamanolos@gmail.com</t>
        </is>
      </c>
      <c r="H81" t="inlineStr">
        <is>
          <t>Pending</t>
        </is>
      </c>
    </row>
    <row r="82">
      <c r="A82" t="inlineStr">
        <is>
          <t>Barberia Raymond</t>
        </is>
      </c>
      <c r="C82" t="inlineStr">
        <is>
          <t>HAIR SALON</t>
        </is>
      </c>
      <c r="D82" t="inlineStr">
        <is>
          <t>Carrer de Béjar, 79, Sants-Montjuïc, 08014 Barcelona, Spain</t>
        </is>
      </c>
      <c r="F82">
        <f>+34 673 59 76 70</f>
        <v/>
      </c>
      <c r="H82" t="inlineStr">
        <is>
          <t>Pending</t>
        </is>
      </c>
    </row>
    <row r="83">
      <c r="A83" t="inlineStr">
        <is>
          <t>Barberia Riera</t>
        </is>
      </c>
      <c r="C83" t="inlineStr">
        <is>
          <t>HAIR SALON</t>
        </is>
      </c>
      <c r="D83" t="inlineStr">
        <is>
          <t>Ronda del General Mitre, 69, 71, Sarrià-Sant Gervasi, 08017 Barcelona, Spain</t>
        </is>
      </c>
      <c r="F83">
        <f>+34 637 51 44 03</f>
        <v/>
      </c>
      <c r="H83" t="inlineStr">
        <is>
          <t>Pending</t>
        </is>
      </c>
    </row>
    <row r="84">
      <c r="A84" t="inlineStr">
        <is>
          <t>Barberia Salon Balmes</t>
        </is>
      </c>
      <c r="C84" t="inlineStr">
        <is>
          <t>HAIR SALON</t>
        </is>
      </c>
      <c r="D84" t="inlineStr">
        <is>
          <t>Travessera De Gràcia, 90 SARRIÀ-SANT GERVASI, 08006, 08006 Barcelona, Spain</t>
        </is>
      </c>
      <c r="F84">
        <f>+34 932 17 36 22</f>
        <v/>
      </c>
      <c r="G84" t="inlineStr">
        <is>
          <t>salonbalmes@gmail.com</t>
        </is>
      </c>
      <c r="H84" t="inlineStr">
        <is>
          <t>Pending</t>
        </is>
      </c>
    </row>
    <row r="85">
      <c r="A85" t="inlineStr">
        <is>
          <t>Barbershop G17</t>
        </is>
      </c>
      <c r="C85" t="inlineStr">
        <is>
          <t>HAIR SALON</t>
        </is>
      </c>
      <c r="D85" t="inlineStr">
        <is>
          <t>Carrer dels Flassaders, 19, Ciutat Vella, 08003 Barcelona, Spain</t>
        </is>
      </c>
      <c r="F85">
        <f>+34 695 93 87 17</f>
        <v/>
      </c>
      <c r="G85" t="inlineStr">
        <is>
          <t>barbershop@g17.biz</t>
        </is>
      </c>
      <c r="H85" t="inlineStr">
        <is>
          <t>Pending</t>
        </is>
      </c>
    </row>
    <row r="86">
      <c r="A86" t="inlineStr">
        <is>
          <t>Barbería Donde Charlie Barcelona | Barber Barbershop</t>
        </is>
      </c>
      <c r="C86" t="inlineStr">
        <is>
          <t>HAIR SALON</t>
        </is>
      </c>
      <c r="D86" t="inlineStr">
        <is>
          <t>Carrer del Rector Ubach, 5, Sarrià-Sant Gervasi, 08021 Barcelona, Spain</t>
        </is>
      </c>
      <c r="F86">
        <f>+34 654 08 43 34</f>
        <v/>
      </c>
      <c r="H86" t="inlineStr">
        <is>
          <t>Pending</t>
        </is>
      </c>
    </row>
    <row r="87">
      <c r="A87" t="inlineStr">
        <is>
          <t>Barbería Filo de caballeros</t>
        </is>
      </c>
      <c r="C87" t="inlineStr">
        <is>
          <t>HAIR SALON</t>
        </is>
      </c>
      <c r="D87" t="inlineStr">
        <is>
          <t>Carrer de Calvet, 66, Sarrià-Sant Gervasi, 08021 Barcelona, Spain</t>
        </is>
      </c>
      <c r="F87">
        <f>+34 722 62 31 12</f>
        <v/>
      </c>
      <c r="G87" t="inlineStr">
        <is>
          <t>filodecaballeros@gmail.com</t>
        </is>
      </c>
      <c r="H87" t="inlineStr">
        <is>
          <t>Pending</t>
        </is>
      </c>
    </row>
    <row r="88">
      <c r="A88" t="inlineStr">
        <is>
          <t>Barbería La Guerra💈</t>
        </is>
      </c>
      <c r="C88" t="inlineStr">
        <is>
          <t>HAIR SALON</t>
        </is>
      </c>
      <c r="D88" t="inlineStr">
        <is>
          <t>Carrer d'Entença, 16, Eixample, 08015 Barcelona, Spain</t>
        </is>
      </c>
      <c r="F88">
        <f>+34 632 40 44 32</f>
        <v/>
      </c>
      <c r="H88" t="inlineStr">
        <is>
          <t>Pending</t>
        </is>
      </c>
    </row>
    <row r="89">
      <c r="A89" t="inlineStr">
        <is>
          <t>Barbería Moderna</t>
        </is>
      </c>
      <c r="C89" t="inlineStr">
        <is>
          <t>HAIR SALON</t>
        </is>
      </c>
      <c r="D89" t="inlineStr">
        <is>
          <t>C. de José Ortega y Gasset, 61, Salamanca, 28006 Madrid, Spain</t>
        </is>
      </c>
      <c r="F89">
        <f>+34 914 01 57 69</f>
        <v/>
      </c>
      <c r="H89" t="inlineStr">
        <is>
          <t>Pending</t>
        </is>
      </c>
    </row>
    <row r="90">
      <c r="A90" t="inlineStr">
        <is>
          <t>Barbieri Abbate - Barbershop in the center of Barcelona</t>
        </is>
      </c>
      <c r="C90" t="inlineStr">
        <is>
          <t>HAIR SALON</t>
        </is>
      </c>
      <c r="D90" t="inlineStr">
        <is>
          <t>C/ de Muntaner, 113, Eixample, 08036 Barcelona, Spain</t>
        </is>
      </c>
      <c r="F90">
        <f>+34 666 06 44 34</f>
        <v/>
      </c>
      <c r="H90" t="inlineStr">
        <is>
          <t>Pending</t>
        </is>
      </c>
    </row>
    <row r="91">
      <c r="A91" t="inlineStr">
        <is>
          <t>Barcelona Barber Shop</t>
        </is>
      </c>
      <c r="C91" t="inlineStr">
        <is>
          <t>HAIR SALON</t>
        </is>
      </c>
      <c r="D91" t="inlineStr">
        <is>
          <t>Carrer del Consell de Cent, 248, Eixample, 08011 Barcelona, Spain</t>
        </is>
      </c>
      <c r="F91">
        <f>+34 937 82 61 35</f>
        <v/>
      </c>
      <c r="G91" t="inlineStr">
        <is>
          <t>barcelona@barbershop.cat</t>
        </is>
      </c>
      <c r="H91" t="inlineStr">
        <is>
          <t>Pending</t>
        </is>
      </c>
    </row>
    <row r="92">
      <c r="A92" t="inlineStr">
        <is>
          <t>Barcelona Barber Shop - Muntaner Descartes</t>
        </is>
      </c>
      <c r="C92" t="inlineStr">
        <is>
          <t>HAIR SALON</t>
        </is>
      </c>
      <c r="D92" t="inlineStr">
        <is>
          <t>C/ de Muntaner, 382, Sarrià-Sant Gervasi, 08006 Barcelona, Spain</t>
        </is>
      </c>
      <c r="F92">
        <f>+34 934 88 42 98</f>
        <v/>
      </c>
      <c r="G92" t="inlineStr">
        <is>
          <t>barcelona@barbershop.cat</t>
        </is>
      </c>
      <c r="H92" t="inlineStr">
        <is>
          <t>Pending</t>
        </is>
      </c>
    </row>
    <row r="93">
      <c r="A93" t="inlineStr">
        <is>
          <t>Barcelona Barber Shop - Muntaner París</t>
        </is>
      </c>
      <c r="C93" t="inlineStr">
        <is>
          <t>HAIR SALON</t>
        </is>
      </c>
      <c r="D93" t="inlineStr">
        <is>
          <t>C/ de Muntaner, 176, Eixample, 08036 Barcelona, Spain</t>
        </is>
      </c>
      <c r="F93">
        <f>+34 938 31 45 61</f>
        <v/>
      </c>
      <c r="G93" t="inlineStr">
        <is>
          <t>rrhh@barbershop.cat</t>
        </is>
      </c>
      <c r="H93" t="inlineStr">
        <is>
          <t>Pending</t>
        </is>
      </c>
    </row>
    <row r="94">
      <c r="A94" t="inlineStr">
        <is>
          <t>Barcelona | Aribelti</t>
        </is>
      </c>
      <c r="C94" t="inlineStr">
        <is>
          <t>HAIR SALON</t>
        </is>
      </c>
      <c r="D94" t="inlineStr">
        <is>
          <t>Via Augusta, 281, 3 era planta, Sarrià-Sant Gervasi, 08017 Barcelona, Spain</t>
        </is>
      </c>
      <c r="E94" t="inlineStr">
        <is>
          <t>http://aribelti.com/</t>
        </is>
      </c>
      <c r="F94">
        <f>+34 645 46 27 17</f>
        <v/>
      </c>
      <c r="H94" t="inlineStr">
        <is>
          <t>Pending</t>
        </is>
      </c>
    </row>
    <row r="95">
      <c r="A95" t="inlineStr">
        <is>
          <t>Beautique</t>
        </is>
      </c>
      <c r="C95" t="inlineStr">
        <is>
          <t>HAIR SALON</t>
        </is>
      </c>
      <c r="D95" t="inlineStr">
        <is>
          <t>Carrer de Mallorca, 159, Eixample, 08036 Barcelona, Spain</t>
        </is>
      </c>
      <c r="E95" t="inlineStr">
        <is>
          <t>http://beautiquebcn.com/</t>
        </is>
      </c>
      <c r="F95">
        <f>+34 632 97 07 07</f>
        <v/>
      </c>
      <c r="H95" t="inlineStr">
        <is>
          <t>Pending</t>
        </is>
      </c>
    </row>
    <row r="96">
      <c r="A96" t="inlineStr">
        <is>
          <t>Beauty</t>
        </is>
      </c>
      <c r="C96" t="inlineStr">
        <is>
          <t>HAIR SALON</t>
        </is>
      </c>
      <c r="D96" t="inlineStr">
        <is>
          <t>Carrer d'Entença, 80, Eixample, 08015 Barcelona, Spain</t>
        </is>
      </c>
      <c r="F96">
        <f>+34 671 12 61 68</f>
        <v/>
      </c>
      <c r="H96" t="inlineStr">
        <is>
          <t>Pending</t>
        </is>
      </c>
    </row>
    <row r="97">
      <c r="A97" t="inlineStr">
        <is>
          <t>Beauty Coach Barcelona</t>
        </is>
      </c>
      <c r="C97" t="inlineStr">
        <is>
          <t>HAIR SALON</t>
        </is>
      </c>
      <c r="D97" t="inlineStr">
        <is>
          <t>Rambla del Brasil, 23, Sants-Montjuïc, 08028 Barcelona, Spain</t>
        </is>
      </c>
      <c r="F97">
        <f>+34 934 91 37 23</f>
        <v/>
      </c>
      <c r="H97" t="inlineStr">
        <is>
          <t>Pending</t>
        </is>
      </c>
    </row>
    <row r="98">
      <c r="A98" t="inlineStr">
        <is>
          <t>Beauty Experience Head Spa</t>
        </is>
      </c>
      <c r="C98" t="inlineStr">
        <is>
          <t>HAIR SALON</t>
        </is>
      </c>
      <c r="D98" t="inlineStr">
        <is>
          <t>Carrer d'Alcolea, 56, Sants-Montjuïc, 08014 Barcelona, Spain</t>
        </is>
      </c>
      <c r="F98">
        <f>+34 611 24 06 80</f>
        <v/>
      </c>
      <c r="H98" t="inlineStr">
        <is>
          <t>Pending</t>
        </is>
      </c>
    </row>
    <row r="99">
      <c r="A99" t="inlineStr">
        <is>
          <t>Beauty Line By Michurina</t>
        </is>
      </c>
      <c r="C99" t="inlineStr">
        <is>
          <t>HAIR SALON</t>
        </is>
      </c>
      <c r="D99" t="inlineStr">
        <is>
          <t>Carrer d'Entença, 164, Eixample, 08029 Barcelona, Spain</t>
        </is>
      </c>
      <c r="F99">
        <f>+34 683 46 10 35</f>
        <v/>
      </c>
      <c r="H99" t="inlineStr">
        <is>
          <t>Pending</t>
        </is>
      </c>
    </row>
    <row r="100">
      <c r="A100" t="inlineStr">
        <is>
          <t>Beauty Nails Lashes &amp; Brows</t>
        </is>
      </c>
      <c r="C100" t="inlineStr">
        <is>
          <t>HAIR SALON</t>
        </is>
      </c>
      <c r="D100" t="inlineStr">
        <is>
          <t>Carrer de la Rosa d'Alejandría, 89, 08906 L'Hospitalet de Llobregat, Barcelona, Spain</t>
        </is>
      </c>
      <c r="F100">
        <f>+34 634 12 02 86</f>
        <v/>
      </c>
      <c r="H100" t="inlineStr">
        <is>
          <t>Pending</t>
        </is>
      </c>
    </row>
    <row r="101">
      <c r="A101" t="inlineStr">
        <is>
          <t>Beauty Salon</t>
        </is>
      </c>
      <c r="C101" t="inlineStr">
        <is>
          <t>HAIR SALON</t>
        </is>
      </c>
      <c r="D101" t="inlineStr">
        <is>
          <t>Av. Ponent, 17, 08905 L'Hospitalet de Llobregat, Barcelona, Spain</t>
        </is>
      </c>
      <c r="H101" t="inlineStr">
        <is>
          <t>Pending</t>
        </is>
      </c>
    </row>
    <row r="102">
      <c r="A102" t="inlineStr">
        <is>
          <t>Beauty Salon Vivian Asmat</t>
        </is>
      </c>
      <c r="C102" t="inlineStr">
        <is>
          <t>HAIR SALON</t>
        </is>
      </c>
      <c r="D102" t="inlineStr">
        <is>
          <t>Carrer de la Rosa d'Alejandría, 74, 08906 L'Hospitalet de Llobregat, Barcelona, Spain</t>
        </is>
      </c>
      <c r="F102">
        <f>+34 634 12 02 86</f>
        <v/>
      </c>
      <c r="G102" t="inlineStr">
        <is>
          <t>help.es@booksy.com</t>
        </is>
      </c>
      <c r="H102" t="inlineStr">
        <is>
          <t>Pending</t>
        </is>
      </c>
    </row>
    <row r="103">
      <c r="A103" t="inlineStr">
        <is>
          <t>Beauty Studio Natalí</t>
        </is>
      </c>
      <c r="C103" t="inlineStr">
        <is>
          <t>HAIR SALON</t>
        </is>
      </c>
      <c r="D103" t="inlineStr">
        <is>
          <t>Carrer de Londres, 99, Eixample, 08036 Barcelona, Spain</t>
        </is>
      </c>
      <c r="F103">
        <f>+34 615 91 54 07</f>
        <v/>
      </c>
      <c r="H103" t="inlineStr">
        <is>
          <t>Pending</t>
        </is>
      </c>
    </row>
    <row r="104">
      <c r="A104" t="inlineStr">
        <is>
          <t>Bella - Salón de Belleza. M&amp;Y Estilistas</t>
        </is>
      </c>
      <c r="C104" t="inlineStr">
        <is>
          <t>HAIR SALON</t>
        </is>
      </c>
      <c r="D104" t="inlineStr">
        <is>
          <t>Carrer de Rocafort, 139, Eixample, 08015 Barcelona, Spain</t>
        </is>
      </c>
      <c r="F104">
        <f>+34 932 28 97 06</f>
        <v/>
      </c>
      <c r="H104" t="inlineStr">
        <is>
          <t>Pending</t>
        </is>
      </c>
    </row>
    <row r="105">
      <c r="A105" t="inlineStr">
        <is>
          <t>Beltà Barcelona</t>
        </is>
      </c>
      <c r="C105" t="inlineStr">
        <is>
          <t>HAIR SALON</t>
        </is>
      </c>
      <c r="D105" t="inlineStr">
        <is>
          <t>C/ d'Ausiàs Marc, 19, Eixample, 08010 Barcelona, Spain</t>
        </is>
      </c>
      <c r="F105">
        <f>+34 936 83 73 61</f>
        <v/>
      </c>
      <c r="H105" t="inlineStr">
        <is>
          <t>Pending</t>
        </is>
      </c>
    </row>
    <row r="106">
      <c r="A106" t="inlineStr">
        <is>
          <t>Bibō Belleza</t>
        </is>
      </c>
      <c r="C106" t="inlineStr">
        <is>
          <t>HAIR SALON</t>
        </is>
      </c>
      <c r="D106" t="inlineStr">
        <is>
          <t>Carrer del Taquígraf Martí, 19-23, Les Corts, 08028 Barcelona, Spain</t>
        </is>
      </c>
      <c r="F106">
        <f>+34 934 19 97 15</f>
        <v/>
      </c>
      <c r="H106" t="inlineStr">
        <is>
          <t>Pending</t>
        </is>
      </c>
    </row>
    <row r="107">
      <c r="A107" t="inlineStr">
        <is>
          <t>Bloss Barcelona (Hair by Sergio)</t>
        </is>
      </c>
      <c r="C107" t="inlineStr">
        <is>
          <t>HAIR SALON</t>
        </is>
      </c>
      <c r="D107" t="inlineStr">
        <is>
          <t>Carrer de València, 285, Eixample, 08009 Barcelona, Spain</t>
        </is>
      </c>
      <c r="F107">
        <f>+34 931 28 83 22</f>
        <v/>
      </c>
      <c r="G107" t="inlineStr">
        <is>
          <t>hello@blossbarcelona.com</t>
        </is>
      </c>
      <c r="H107" t="inlineStr">
        <is>
          <t>Pending</t>
        </is>
      </c>
    </row>
    <row r="108">
      <c r="A108" t="inlineStr">
        <is>
          <t>Blue Barcelona- saló de bellesa</t>
        </is>
      </c>
      <c r="C108" t="inlineStr">
        <is>
          <t>HAIR SALON</t>
        </is>
      </c>
      <c r="D108" t="inlineStr">
        <is>
          <t>Carrer de Mallorca, 282, Eixample, 08037 Barcelona, Spain</t>
        </is>
      </c>
      <c r="F108">
        <f>+34 934 58 95 03</f>
        <v/>
      </c>
      <c r="H108" t="inlineStr">
        <is>
          <t>Pending</t>
        </is>
      </c>
    </row>
    <row r="109">
      <c r="A109" t="inlineStr">
        <is>
          <t>Bo Barcelona Beauty Obsession</t>
        </is>
      </c>
      <c r="C109" t="inlineStr">
        <is>
          <t>HAIR SALON</t>
        </is>
      </c>
      <c r="D109" t="inlineStr">
        <is>
          <t>Carrer de Bori i Fontestà, 14, Sarrià-Sant Gervasi, 08021 Barcelona, Spain</t>
        </is>
      </c>
      <c r="F109">
        <f>+34 932 00 41 39</f>
        <v/>
      </c>
      <c r="G109" t="inlineStr">
        <is>
          <t>info@bo-barcelona.com</t>
        </is>
      </c>
      <c r="H109" t="inlineStr">
        <is>
          <t>Pending</t>
        </is>
      </c>
    </row>
    <row r="110">
      <c r="A110" t="inlineStr">
        <is>
          <t>Body&amp;Scissors</t>
        </is>
      </c>
      <c r="C110" t="inlineStr">
        <is>
          <t>HAIR SALON</t>
        </is>
      </c>
      <c r="D110" t="inlineStr">
        <is>
          <t>Carrer de França, 40-48, Altillo Puerta F-G, 08907 L'Hospitalet de Llobregat, Barcelona, Spain</t>
        </is>
      </c>
      <c r="F110">
        <f>+34 932 63 59 27</f>
        <v/>
      </c>
      <c r="G110" t="inlineStr">
        <is>
          <t>info@body-scissors.com</t>
        </is>
      </c>
      <c r="H110" t="inlineStr">
        <is>
          <t>Pending</t>
        </is>
      </c>
    </row>
    <row r="111">
      <c r="A111" t="inlineStr">
        <is>
          <t>Born to Cut</t>
        </is>
      </c>
      <c r="C111" t="inlineStr">
        <is>
          <t>HAIR SALON</t>
        </is>
      </c>
      <c r="D111" t="inlineStr">
        <is>
          <t>Pg. del Born, 34, Ciutat Vella, 08003 Barcelona, Spain</t>
        </is>
      </c>
      <c r="F111">
        <f>+34 933 10 05 35</f>
        <v/>
      </c>
      <c r="H111" t="inlineStr">
        <is>
          <t>Pending</t>
        </is>
      </c>
    </row>
    <row r="112">
      <c r="A112" t="inlineStr">
        <is>
          <t>British Barbershop</t>
        </is>
      </c>
      <c r="C112" t="inlineStr">
        <is>
          <t>HAIR SALON</t>
        </is>
      </c>
      <c r="D112" t="inlineStr">
        <is>
          <t>Carrer del Comerç, 30, Ciutat Vella, 08003 Barcelona, Spain</t>
        </is>
      </c>
      <c r="F112">
        <f>+34 651 83 08 95</f>
        <v/>
      </c>
      <c r="G112" t="inlineStr">
        <is>
          <t>britishbarbershopbcn@gmail.com</t>
        </is>
      </c>
      <c r="H112" t="inlineStr">
        <is>
          <t>Pending</t>
        </is>
      </c>
    </row>
    <row r="113">
      <c r="A113" t="inlineStr">
        <is>
          <t>Bros Barber BCN</t>
        </is>
      </c>
      <c r="C113" t="inlineStr">
        <is>
          <t>HAIR SALON</t>
        </is>
      </c>
      <c r="D113" t="inlineStr">
        <is>
          <t>Carrer d'Aribau, 29, Eixample, 08011 Barcelona, Spain</t>
        </is>
      </c>
      <c r="F113">
        <f>+34 650 25 84 68</f>
        <v/>
      </c>
      <c r="H113" t="inlineStr">
        <is>
          <t>Pending</t>
        </is>
      </c>
    </row>
    <row r="114">
      <c r="A114" t="inlineStr">
        <is>
          <t>Brothers barber shop💈</t>
        </is>
      </c>
      <c r="C114" t="inlineStr">
        <is>
          <t>HAIR SALON</t>
        </is>
      </c>
      <c r="D114" t="inlineStr">
        <is>
          <t>Carrer de Floridablanca, 99, l2 l1, Eixample, 08015 Barcelona, Spain</t>
        </is>
      </c>
      <c r="F114">
        <f>+34 935 14 46 65</f>
        <v/>
      </c>
      <c r="H114" t="inlineStr">
        <is>
          <t>Pending</t>
        </is>
      </c>
    </row>
    <row r="115">
      <c r="A115" t="inlineStr">
        <is>
          <t>Brown Studio - Barbershop</t>
        </is>
      </c>
      <c r="C115" t="inlineStr">
        <is>
          <t>HAIR SALON</t>
        </is>
      </c>
      <c r="D115" t="inlineStr">
        <is>
          <t>Carrer de València, 42, Eixample, 08015 Barcelona, Spain</t>
        </is>
      </c>
      <c r="F115">
        <f>+34 634 19 64 12</f>
        <v/>
      </c>
      <c r="H115" t="inlineStr">
        <is>
          <t>Pending</t>
        </is>
      </c>
    </row>
    <row r="116">
      <c r="A116" t="inlineStr">
        <is>
          <t>Bruno's By Alexia</t>
        </is>
      </c>
      <c r="C116" t="inlineStr">
        <is>
          <t>HAIR SALON</t>
        </is>
      </c>
      <c r="D116" t="inlineStr">
        <is>
          <t>Carrer Prat de la Manta, 63, local B, 08902 L'Hospitalet de Llobregat, Barcelona, Spain</t>
        </is>
      </c>
      <c r="F116">
        <f>+34 630 21 30 39</f>
        <v/>
      </c>
      <c r="H116" t="inlineStr">
        <is>
          <t>Pending</t>
        </is>
      </c>
    </row>
    <row r="117">
      <c r="A117" t="inlineStr">
        <is>
          <t>C&amp;C ACADÈMIA CASANOVA BARCELONA (VILADOMAT). Academia de Peluquería, Barbería y Estética.</t>
        </is>
      </c>
      <c r="C117" t="inlineStr">
        <is>
          <t>HAIR SALON</t>
        </is>
      </c>
      <c r="D117" t="inlineStr">
        <is>
          <t>Carrer de Viladomat, 125, Eixample, 08015 Barcelona, Spain</t>
        </is>
      </c>
      <c r="F117">
        <f>+34 934 23 15 15</f>
        <v/>
      </c>
      <c r="G117" t="inlineStr">
        <is>
          <t>info@academiacasanova.com</t>
        </is>
      </c>
      <c r="H117" t="inlineStr">
        <is>
          <t>Pending</t>
        </is>
      </c>
    </row>
    <row r="118">
      <c r="A118" t="inlineStr">
        <is>
          <t>C&amp;M Estilistes</t>
        </is>
      </c>
      <c r="C118" t="inlineStr">
        <is>
          <t>HAIR SALON</t>
        </is>
      </c>
      <c r="D118" t="inlineStr">
        <is>
          <t>Avinguda del Paral·lel, 103, Sants-Montjuïc, 08004 Barcelona, Spain</t>
        </is>
      </c>
      <c r="F118">
        <f>+34 934 43 25 60</f>
        <v/>
      </c>
      <c r="H118" t="inlineStr">
        <is>
          <t>Pending</t>
        </is>
      </c>
    </row>
    <row r="119">
      <c r="A119" t="inlineStr">
        <is>
          <t>CACHÉ</t>
        </is>
      </c>
      <c r="C119" t="inlineStr">
        <is>
          <t>HAIR SALON</t>
        </is>
      </c>
      <c r="D119" t="inlineStr">
        <is>
          <t>Carrer Numància, 61, Les Corts, 08029 Barcelona, Spain</t>
        </is>
      </c>
      <c r="F119">
        <f>+34 934 30 67 81</f>
        <v/>
      </c>
      <c r="H119" t="inlineStr">
        <is>
          <t>Pending</t>
        </is>
      </c>
    </row>
    <row r="120">
      <c r="A120" t="inlineStr">
        <is>
          <t>CALMA Hair spa</t>
        </is>
      </c>
      <c r="C120" t="inlineStr">
        <is>
          <t>HAIR SALON</t>
        </is>
      </c>
      <c r="D120" t="inlineStr">
        <is>
          <t>Carrer de Casp, 45, Eixample, 08010 Barcelona, Spain</t>
        </is>
      </c>
      <c r="F120">
        <f>+34 610 10 97 95</f>
        <v/>
      </c>
      <c r="G120" t="inlineStr">
        <is>
          <t>calmahairspa@gmail.com</t>
        </is>
      </c>
      <c r="H120" t="inlineStr">
        <is>
          <t>Pending</t>
        </is>
      </c>
    </row>
    <row r="121">
      <c r="A121" t="inlineStr">
        <is>
          <t>CEBADO</t>
        </is>
      </c>
      <c r="C121" t="inlineStr">
        <is>
          <t>HAIR SALON</t>
        </is>
      </c>
      <c r="D121" t="inlineStr">
        <is>
          <t>Avinguda de la Granvia de l’Hospitalet, 75, Local C14, 08908 L'Hospitalet de Llobregat, Barcelona, Spain</t>
        </is>
      </c>
      <c r="F121">
        <f>+34 932 59 01 89</f>
        <v/>
      </c>
      <c r="G121" t="inlineStr">
        <is>
          <t>info@cebado.es</t>
        </is>
      </c>
      <c r="H121" t="inlineStr">
        <is>
          <t>Pending</t>
        </is>
      </c>
    </row>
    <row r="122">
      <c r="A122" t="inlineStr">
        <is>
          <t>CIME Academy - Escuela de Medicina Estética</t>
        </is>
      </c>
      <c r="C122" t="inlineStr">
        <is>
          <t>HAIR SALON</t>
        </is>
      </c>
      <c r="D122" t="inlineStr">
        <is>
          <t>Carrer d'Entença, 144, bajos 1ra, Eixample, 08029 Barcelona, Spain</t>
        </is>
      </c>
      <c r="E122" t="inlineStr">
        <is>
          <t>https://www.cursosmedicinaestetica.es/</t>
        </is>
      </c>
      <c r="F122">
        <f>+34 682 62 99 82</f>
        <v/>
      </c>
      <c r="G122" t="inlineStr">
        <is>
          <t>secretaria@cimeacademy.com</t>
        </is>
      </c>
      <c r="H122" t="inlineStr">
        <is>
          <t>Pending</t>
        </is>
      </c>
    </row>
    <row r="123">
      <c r="A123" t="inlineStr">
        <is>
          <t>CLÍNICA TOSCANA</t>
        </is>
      </c>
      <c r="C123" t="inlineStr">
        <is>
          <t>HAIR SALON</t>
        </is>
      </c>
      <c r="D123" t="inlineStr">
        <is>
          <t>Pg. de Gràcia, 79, Eixample, 08008 Barcelona, Spain</t>
        </is>
      </c>
      <c r="E123" t="inlineStr">
        <is>
          <t>https://clinicatoscana.com/</t>
        </is>
      </c>
      <c r="F123">
        <f>+34 934 87 86 40</f>
        <v/>
      </c>
      <c r="G123" t="inlineStr">
        <is>
          <t>info@clinicatoscana.com</t>
        </is>
      </c>
      <c r="H123" t="inlineStr">
        <is>
          <t>Pending</t>
        </is>
      </c>
    </row>
    <row r="124">
      <c r="A124" t="inlineStr">
        <is>
          <t>CM Beauty Center</t>
        </is>
      </c>
      <c r="C124" t="inlineStr">
        <is>
          <t>HAIR SALON</t>
        </is>
      </c>
      <c r="D124" t="inlineStr">
        <is>
          <t>Carrer dels Vergós, 56, Sarrià-Sant Gervasi, 08017 Barcelona, Spain</t>
        </is>
      </c>
      <c r="E124" t="inlineStr">
        <is>
          <t>https://cmbeautybcn.es/</t>
        </is>
      </c>
      <c r="F124">
        <f>+34 640 77 54 75</f>
        <v/>
      </c>
      <c r="H124" t="inlineStr">
        <is>
          <t>Pending</t>
        </is>
      </c>
    </row>
    <row r="125">
      <c r="A125" t="inlineStr">
        <is>
          <t>COLECTIU SALÓ</t>
        </is>
      </c>
      <c r="C125" t="inlineStr">
        <is>
          <t>HAIR SALON</t>
        </is>
      </c>
      <c r="D125" t="inlineStr">
        <is>
          <t>Carrer de la Ciutat, 11, Ciutat Vella, 08002 Barcelona, Spain</t>
        </is>
      </c>
      <c r="F125">
        <f>+34 932 68 46 63</f>
        <v/>
      </c>
      <c r="H125" t="inlineStr">
        <is>
          <t>Pending</t>
        </is>
      </c>
    </row>
    <row r="126">
      <c r="A126" t="inlineStr">
        <is>
          <t>CREAZIONI</t>
        </is>
      </c>
      <c r="C126" t="inlineStr">
        <is>
          <t>HAIR SALON</t>
        </is>
      </c>
      <c r="D126" t="inlineStr">
        <is>
          <t>Carrer del Consell de Cent, 140, local 1 Local 1, Eixample, 08015 Barcelona, Spain</t>
        </is>
      </c>
      <c r="F126">
        <f>+34 930 13 13 93</f>
        <v/>
      </c>
      <c r="H126" t="inlineStr">
        <is>
          <t>Pending</t>
        </is>
      </c>
    </row>
    <row r="127">
      <c r="A127" t="inlineStr">
        <is>
          <t>CUTE NAILS beauty &amp; nail bar</t>
        </is>
      </c>
      <c r="C127" t="inlineStr">
        <is>
          <t>HAIR SALON</t>
        </is>
      </c>
      <c r="D127" t="inlineStr">
        <is>
          <t>Carrer de, Carrer del Príncep Jordi, 1, local 1, Sants-Montjuïc, 08014 Barcelona, Spain</t>
        </is>
      </c>
      <c r="F127">
        <f>+34 643 67 81 97</f>
        <v/>
      </c>
      <c r="H127" t="inlineStr">
        <is>
          <t>Pending</t>
        </is>
      </c>
    </row>
    <row r="128">
      <c r="A128" t="inlineStr">
        <is>
          <t>Cafuné Salon de Belleza</t>
        </is>
      </c>
      <c r="C128" t="inlineStr">
        <is>
          <t>HAIR SALON</t>
        </is>
      </c>
      <c r="D128" t="inlineStr">
        <is>
          <t>C/ de Muntaner, 123, Eixample, 08036 Barcelona, Spain</t>
        </is>
      </c>
      <c r="F128">
        <f>+34 653 38 55 59</f>
        <v/>
      </c>
      <c r="H128" t="inlineStr">
        <is>
          <t>Pending</t>
        </is>
      </c>
    </row>
    <row r="129">
      <c r="A129" t="inlineStr">
        <is>
          <t>Camden Perruqueria Unisex</t>
        </is>
      </c>
      <c r="C129" t="inlineStr">
        <is>
          <t>HAIR SALON</t>
        </is>
      </c>
      <c r="D129" t="inlineStr">
        <is>
          <t>Carrer de Béjar, 79, Sants-Montjuïc, 08014 Barcelona, Spain</t>
        </is>
      </c>
      <c r="F129">
        <f>+34 934 26 79 06</f>
        <v/>
      </c>
      <c r="H129" t="inlineStr">
        <is>
          <t>Pending</t>
        </is>
      </c>
    </row>
    <row r="130">
      <c r="A130" t="inlineStr">
        <is>
          <t>Capilica</t>
        </is>
      </c>
      <c r="C130" t="inlineStr">
        <is>
          <t>HAIR SALON</t>
        </is>
      </c>
      <c r="E130" t="inlineStr">
        <is>
          <t>https://capilica.es/</t>
        </is>
      </c>
      <c r="H130" t="inlineStr">
        <is>
          <t>Pending</t>
        </is>
      </c>
    </row>
    <row r="131">
      <c r="A131" t="inlineStr">
        <is>
          <t>Capil·Art Barcelona</t>
        </is>
      </c>
      <c r="C131" t="inlineStr">
        <is>
          <t>HAIR SALON</t>
        </is>
      </c>
      <c r="E131" t="inlineStr">
        <is>
          <t>https://www.capilartbcn.com/</t>
        </is>
      </c>
      <c r="F131">
        <f>+34 696 36 68 20</f>
        <v/>
      </c>
      <c r="G131" t="inlineStr">
        <is>
          <t>capilartbcn@gmail.com</t>
        </is>
      </c>
      <c r="H131" t="inlineStr">
        <is>
          <t>Pending</t>
        </is>
      </c>
    </row>
    <row r="132">
      <c r="A132" t="inlineStr">
        <is>
          <t>Carlos PELUQUERO MASCULINO.</t>
        </is>
      </c>
      <c r="C132" t="inlineStr">
        <is>
          <t>HAIR SALON</t>
        </is>
      </c>
      <c r="D132" t="inlineStr">
        <is>
          <t>Avinguda del Bosc, 45, 08906 L'Hospitalet de Llobregat, Barcelona, Spain</t>
        </is>
      </c>
      <c r="F132">
        <f>+34 669 59 68 51</f>
        <v/>
      </c>
      <c r="H132" t="inlineStr">
        <is>
          <t>Pending</t>
        </is>
      </c>
    </row>
    <row r="133">
      <c r="A133" t="inlineStr">
        <is>
          <t>Carol Centre: Espai de bellesa i benestar</t>
        </is>
      </c>
      <c r="C133" t="inlineStr">
        <is>
          <t>HAIR SALON</t>
        </is>
      </c>
      <c r="D133" t="inlineStr">
        <is>
          <t>Riera de la Creu, 9-11, 08901 L'Hospitalet de Llobregat, Barcelona, Spain</t>
        </is>
      </c>
      <c r="F133">
        <f>+34 935 39 97 15</f>
        <v/>
      </c>
      <c r="G133" t="inlineStr">
        <is>
          <t>carolcentre@gmail.com</t>
        </is>
      </c>
      <c r="H133" t="inlineStr">
        <is>
          <t>Pending</t>
        </is>
      </c>
    </row>
    <row r="134">
      <c r="A134" t="inlineStr">
        <is>
          <t>Carolina Micropigmentación</t>
        </is>
      </c>
      <c r="C134" t="inlineStr">
        <is>
          <t>HAIR SALON</t>
        </is>
      </c>
      <c r="D134" t="inlineStr">
        <is>
          <t>Carrer de Provença, 238, Bajo 2, Eixample, 08008 Barcelona, Spain</t>
        </is>
      </c>
      <c r="E134" t="inlineStr">
        <is>
          <t>https://carolinaalfonzo.com/</t>
        </is>
      </c>
      <c r="F134">
        <f>+34 615 24 47 46</f>
        <v/>
      </c>
      <c r="G134" t="inlineStr">
        <is>
          <t>info@carolinaalfonzo.com</t>
        </is>
      </c>
      <c r="H134" t="inlineStr">
        <is>
          <t>Pending</t>
        </is>
      </c>
    </row>
    <row r="135">
      <c r="A135" t="inlineStr">
        <is>
          <t>Carolina de la Rosa - micropigmentacion &amp; depilación eléctrica</t>
        </is>
      </c>
      <c r="C135" t="inlineStr">
        <is>
          <t>HAIR SALON</t>
        </is>
      </c>
      <c r="D135" t="inlineStr">
        <is>
          <t>Ronda del General Mitre, 174, Local 2, Sarrià-Sant Gervasi, 08006 Barcelona, Spain</t>
        </is>
      </c>
      <c r="E135" t="inlineStr">
        <is>
          <t>https://caroldelarosa.com/</t>
        </is>
      </c>
      <c r="F135">
        <f>+34 640 15 66 76</f>
        <v/>
      </c>
      <c r="H135" t="inlineStr">
        <is>
          <t>Pending</t>
        </is>
      </c>
    </row>
    <row r="136">
      <c r="A136" t="inlineStr">
        <is>
          <t>Centre Creació d'Imatge</t>
        </is>
      </c>
      <c r="C136" t="inlineStr">
        <is>
          <t>HAIR SALON</t>
        </is>
      </c>
      <c r="D136" t="inlineStr">
        <is>
          <t>Carrer d'Entença, 94, Eixample, 08015 Barcelona, Spain</t>
        </is>
      </c>
      <c r="F136">
        <f>+34 933 25 36 93</f>
        <v/>
      </c>
      <c r="G136" t="inlineStr">
        <is>
          <t>hipertin@hipertin.com</t>
        </is>
      </c>
      <c r="H136" t="inlineStr">
        <is>
          <t>Pending</t>
        </is>
      </c>
    </row>
    <row r="137">
      <c r="A137" t="inlineStr">
        <is>
          <t>Centre Mèdic AXA</t>
        </is>
      </c>
      <c r="C137" t="inlineStr">
        <is>
          <t>HAIR SALON</t>
        </is>
      </c>
      <c r="D137" t="inlineStr">
        <is>
          <t>Acceso Gran Vía Corts Catalanes, 657 Acceso Carrer de Girona, Carrer, 48, 08010 Barcelona, Spain</t>
        </is>
      </c>
      <c r="E137" t="inlineStr">
        <is>
          <t>https://www.centromedicobarcelona.axa.es/</t>
        </is>
      </c>
      <c r="F137">
        <f>+34 932 47 66 80</f>
        <v/>
      </c>
      <c r="H137" t="inlineStr">
        <is>
          <t>Pending</t>
        </is>
      </c>
    </row>
    <row r="138">
      <c r="A138" t="inlineStr">
        <is>
          <t>Centre Mèdic Cabeceran Les Escoles | Sarrià | Barcelona</t>
        </is>
      </c>
      <c r="C138" t="inlineStr">
        <is>
          <t>HAIR SALON</t>
        </is>
      </c>
      <c r="D138" t="inlineStr">
        <is>
          <t>Carrer de les Escoles Pies, 78, Sarrià-Sant Gervasi, 08017 Barcelona, Spain</t>
        </is>
      </c>
      <c r="E138" t="inlineStr">
        <is>
          <t>https://barcelona.cabeceran.com/clinica-dental-sarria/</t>
        </is>
      </c>
      <c r="F138">
        <f>+34 934 18 22 02</f>
        <v/>
      </c>
      <c r="H138" t="inlineStr">
        <is>
          <t>Pending</t>
        </is>
      </c>
    </row>
    <row r="139">
      <c r="A139" t="inlineStr">
        <is>
          <t>Centre Salut Capil. Lar</t>
        </is>
      </c>
      <c r="C139" t="inlineStr">
        <is>
          <t>HAIR SALON</t>
        </is>
      </c>
      <c r="D139" t="inlineStr">
        <is>
          <t>Carrer de Sant Antoni Maria Claret, 51, Gràcia, 08025 Barcelona, Spain</t>
        </is>
      </c>
      <c r="H139" t="inlineStr">
        <is>
          <t>Pending</t>
        </is>
      </c>
    </row>
    <row r="140">
      <c r="A140" t="inlineStr">
        <is>
          <t>Centre de Perruqueria i estètica Pels Pèls</t>
        </is>
      </c>
      <c r="C140" t="inlineStr">
        <is>
          <t>HAIR SALON</t>
        </is>
      </c>
      <c r="D140" t="inlineStr">
        <is>
          <t>Carrer Nou de la Rambla, 37, Ciutat Vella, 08001 Barcelona, Spain</t>
        </is>
      </c>
      <c r="F140">
        <f>+34 663 67 88 38</f>
        <v/>
      </c>
      <c r="H140" t="inlineStr">
        <is>
          <t>Pending</t>
        </is>
      </c>
    </row>
    <row r="141">
      <c r="A141" t="inlineStr">
        <is>
          <t>Centro ALMA | Centro estética Hospitalet | Peluquería afro</t>
        </is>
      </c>
      <c r="C141" t="inlineStr">
        <is>
          <t>HAIR SALON</t>
        </is>
      </c>
      <c r="D141" t="inlineStr">
        <is>
          <t>Carrer de Castelao, 132, 08902 L'Hospitalet de Llobregat, Barcelona, Spain</t>
        </is>
      </c>
      <c r="E141" t="inlineStr">
        <is>
          <t>https://centroalma.mytreatwell.es/</t>
        </is>
      </c>
      <c r="F141">
        <f>+34 608 74 88 73</f>
        <v/>
      </c>
      <c r="G141" t="inlineStr">
        <is>
          <t>mireiaunay73@gmail.com</t>
        </is>
      </c>
      <c r="H141" t="inlineStr">
        <is>
          <t>Pending</t>
        </is>
      </c>
    </row>
    <row r="142">
      <c r="A142" t="inlineStr">
        <is>
          <t>Centro de peluquería y estética Josep Pons Barcelona</t>
        </is>
      </c>
      <c r="C142" t="inlineStr">
        <is>
          <t>HAIR SALON</t>
        </is>
      </c>
      <c r="D142" t="inlineStr">
        <is>
          <t>Carrer de Loreto, 46, Les Corts, 08029 Barcelona, Spain</t>
        </is>
      </c>
      <c r="F142">
        <f>+34 933 21 55 00</f>
        <v/>
      </c>
      <c r="G142" t="inlineStr">
        <is>
          <t>info@joseppons.com</t>
        </is>
      </c>
      <c r="H142" t="inlineStr">
        <is>
          <t>Pending</t>
        </is>
      </c>
    </row>
    <row r="143">
      <c r="A143" t="inlineStr">
        <is>
          <t>Champions - Centro de Estética para Hombres</t>
        </is>
      </c>
      <c r="C143" t="inlineStr">
        <is>
          <t>HAIR SALON</t>
        </is>
      </c>
      <c r="D143" t="inlineStr">
        <is>
          <t>Carrer de la Diputació, 216, Eixample, 08011 Barcelona, Spain</t>
        </is>
      </c>
      <c r="E143" t="inlineStr">
        <is>
          <t>https://champions-centro-de-estetica-masculino.localo.site/?utm_source=google_profile&amp;utm_campaign=localo&amp;utm_medium=mainlink</t>
        </is>
      </c>
      <c r="F143">
        <f>+34 938 24 18 11</f>
        <v/>
      </c>
      <c r="H143" t="inlineStr">
        <is>
          <t>Pending</t>
        </is>
      </c>
    </row>
    <row r="144">
      <c r="A144" t="inlineStr">
        <is>
          <t>Chande Hair Stylist Barcelona</t>
        </is>
      </c>
      <c r="C144" t="inlineStr">
        <is>
          <t>HAIR SALON</t>
        </is>
      </c>
      <c r="D144" t="inlineStr">
        <is>
          <t>Carrer d'Aragó, 129, Eixample, 08015 Barcelona, Spain</t>
        </is>
      </c>
      <c r="F144">
        <f>+34 639 07 91 87</f>
        <v/>
      </c>
      <c r="H144" t="inlineStr">
        <is>
          <t>Pending</t>
        </is>
      </c>
    </row>
    <row r="145">
      <c r="A145" t="inlineStr">
        <is>
          <t>Charis Essence</t>
        </is>
      </c>
      <c r="C145" t="inlineStr">
        <is>
          <t>HAIR SALON</t>
        </is>
      </c>
      <c r="D145" t="inlineStr">
        <is>
          <t>Carrer de Melcior de Palau, 77, Sants-Montjuïc, 08014 Barcelona, Spain</t>
        </is>
      </c>
      <c r="F145">
        <f>+34 930 38 06 37</f>
        <v/>
      </c>
      <c r="H145" t="inlineStr">
        <is>
          <t>Pending</t>
        </is>
      </c>
    </row>
    <row r="146">
      <c r="A146" t="inlineStr">
        <is>
          <t>Chaure Estilistes</t>
        </is>
      </c>
      <c r="C146" t="inlineStr">
        <is>
          <t>HAIR SALON</t>
        </is>
      </c>
      <c r="D146" t="inlineStr">
        <is>
          <t>Carrer de Fígols, 47, Les Corts, 08028 Barcelona, Spain</t>
        </is>
      </c>
      <c r="F146">
        <f>+34 934 09 03 83</f>
        <v/>
      </c>
      <c r="H146" t="inlineStr">
        <is>
          <t>Pending</t>
        </is>
      </c>
    </row>
    <row r="147">
      <c r="A147" t="inlineStr">
        <is>
          <t>Cicive’s peluquería</t>
        </is>
      </c>
      <c r="C147" t="inlineStr">
        <is>
          <t>HAIR SALON</t>
        </is>
      </c>
      <c r="D147" t="inlineStr">
        <is>
          <t>Carrer d'Aldana, 11, Eixample, 08015 Barcelona, Spain</t>
        </is>
      </c>
      <c r="F147">
        <f>+34 685 63 30 24</f>
        <v/>
      </c>
      <c r="H147" t="inlineStr">
        <is>
          <t>Pending</t>
        </is>
      </c>
    </row>
    <row r="148">
      <c r="A148" t="inlineStr">
        <is>
          <t>Cizor Estilistes</t>
        </is>
      </c>
      <c r="C148" t="inlineStr">
        <is>
          <t>HAIR SALON</t>
        </is>
      </c>
      <c r="D148" t="inlineStr">
        <is>
          <t>Carrer de Casp, 28, local 3, Eixample, 08010 Barcelona, Spain</t>
        </is>
      </c>
      <c r="F148">
        <f>+34 930 02 83 40</f>
        <v/>
      </c>
      <c r="H148" t="inlineStr">
        <is>
          <t>Pending</t>
        </is>
      </c>
    </row>
    <row r="149">
      <c r="A149" t="inlineStr">
        <is>
          <t>Claudia Peluqueria - Color y Mechas</t>
        </is>
      </c>
      <c r="C149" t="inlineStr">
        <is>
          <t>HAIR SALON</t>
        </is>
      </c>
      <c r="D149" t="inlineStr">
        <is>
          <t>Avinguda Miraflores, 12, local 1, 08905 L'Hospitalet de Llobregat, Barcelona, Spain</t>
        </is>
      </c>
      <c r="F149">
        <f>+34 644 47 70 39</f>
        <v/>
      </c>
      <c r="H149" t="inlineStr">
        <is>
          <t>Pending</t>
        </is>
      </c>
    </row>
    <row r="150">
      <c r="A150" t="inlineStr">
        <is>
          <t>Claudia Reis Estilistas</t>
        </is>
      </c>
      <c r="C150" t="inlineStr">
        <is>
          <t>HAIR SALON</t>
        </is>
      </c>
      <c r="D150" t="inlineStr">
        <is>
          <t>C/ de Muntaner, 126, Eixample, 08036 Barcelona, Spain</t>
        </is>
      </c>
      <c r="F150">
        <f>+34 634 61 61 82</f>
        <v/>
      </c>
      <c r="H150" t="inlineStr">
        <is>
          <t>Pending</t>
        </is>
      </c>
    </row>
    <row r="151">
      <c r="A151" t="inlineStr">
        <is>
          <t>Clínica Dorsia Cirugia i Medicina Estètica</t>
        </is>
      </c>
      <c r="C151" t="inlineStr">
        <is>
          <t>HAIR SALON</t>
        </is>
      </c>
      <c r="D151" t="inlineStr">
        <is>
          <t>Carrer del Mestre Joan Corrales, 50, 08950 Esplugues de Llobregat, Barcelona, Spain</t>
        </is>
      </c>
      <c r="E151" t="inlineStr">
        <is>
          <t>https://www.dorsia.es/clinicas-dorsia/esplugues-llobregat/?utm_campaign=noviembre24&amp;utm_content=sitio-web-gmb&amp;utm_medium=gmb&amp;utm_source=fichadegoogle</t>
        </is>
      </c>
      <c r="F151">
        <f>+34 937 37 86 50</f>
        <v/>
      </c>
      <c r="H151" t="inlineStr">
        <is>
          <t>Pending</t>
        </is>
      </c>
    </row>
    <row r="152">
      <c r="A152" t="inlineStr">
        <is>
          <t>Clínica EGOS - Bloome Barcelona Guinardó - Cirugía Plástica y Medicina estética</t>
        </is>
      </c>
      <c r="C152" t="inlineStr">
        <is>
          <t>HAIR SALON</t>
        </is>
      </c>
      <c r="D152" t="inlineStr">
        <is>
          <t>Carrer de Sardenya, 515, Gràcia, 08024 Barcelona, Spain</t>
        </is>
      </c>
      <c r="E152" t="inlineStr">
        <is>
          <t>https://www.clinicaegos.com/</t>
        </is>
      </c>
      <c r="F152">
        <f>+34 681 33 23 74</f>
        <v/>
      </c>
      <c r="H152" t="inlineStr">
        <is>
          <t>Pending</t>
        </is>
      </c>
    </row>
    <row r="153">
      <c r="A153" t="inlineStr">
        <is>
          <t>Clínica EGOS - Bloome Hospitalet - Cirugía Plástica y Medicina estética</t>
        </is>
      </c>
      <c r="C153" t="inlineStr">
        <is>
          <t>HAIR SALON</t>
        </is>
      </c>
      <c r="D153" t="inlineStr">
        <is>
          <t>Rambla Just Oliveras, 63, 08901 L'Hospitalet de Llobregat, Barcelona, Spain</t>
        </is>
      </c>
      <c r="E153" t="inlineStr">
        <is>
          <t>https://www.clinicaegos.com/</t>
        </is>
      </c>
      <c r="F153">
        <f>+34 618 27 62 35</f>
        <v/>
      </c>
      <c r="G153" t="inlineStr">
        <is>
          <t>info@clinicaegos.com</t>
        </is>
      </c>
      <c r="H153" t="inlineStr">
        <is>
          <t>Pending</t>
        </is>
      </c>
    </row>
    <row r="154">
      <c r="A154" t="inlineStr">
        <is>
          <t>Clínica EGOS - BloomebyEGOS Badalona - Cirugía Plástica y Medicina estética</t>
        </is>
      </c>
      <c r="C154" t="inlineStr">
        <is>
          <t>HAIR SALON</t>
        </is>
      </c>
      <c r="D154" t="inlineStr">
        <is>
          <t>Plaça de l'Alcalde Xifré, 14, 08912 Badalona, Barcelona, Spain</t>
        </is>
      </c>
      <c r="E154" t="inlineStr">
        <is>
          <t>https://www.clinicaegos.com/</t>
        </is>
      </c>
      <c r="F154">
        <f>+34 699 26 31 62</f>
        <v/>
      </c>
      <c r="G154" t="inlineStr">
        <is>
          <t>info@clinicaegos.com</t>
        </is>
      </c>
      <c r="H154" t="inlineStr">
        <is>
          <t>Pending</t>
        </is>
      </c>
    </row>
    <row r="155">
      <c r="A155" t="inlineStr">
        <is>
          <t>Clínica EGOS Barcelona Aribau - Cirugía Estética y Plástica</t>
        </is>
      </c>
      <c r="C155" t="inlineStr">
        <is>
          <t>HAIR SALON</t>
        </is>
      </c>
      <c r="D155" t="inlineStr">
        <is>
          <t>Carrer d'Aribau, 192, Eixample, 08036 Barcelona, Spain</t>
        </is>
      </c>
      <c r="E155" t="inlineStr">
        <is>
          <t>https://www.clinicaegos.com/</t>
        </is>
      </c>
      <c r="F155">
        <f>+34 608 06 17 92</f>
        <v/>
      </c>
      <c r="G155" t="inlineStr">
        <is>
          <t>info@clinicaegos.com</t>
        </is>
      </c>
      <c r="H155" t="inlineStr">
        <is>
          <t>Pending</t>
        </is>
      </c>
    </row>
    <row r="156">
      <c r="A156" t="inlineStr">
        <is>
          <t>Clínica Egos</t>
        </is>
      </c>
      <c r="C156" t="inlineStr">
        <is>
          <t>HAIR SALON</t>
        </is>
      </c>
      <c r="D156" t="inlineStr">
        <is>
          <t>Carrer de Balmes, 268, Sarrià-Sant Gervasi, 08006 Barcelona, Spain</t>
        </is>
      </c>
      <c r="E156" t="inlineStr">
        <is>
          <t>https://www.clinicaegos.com/</t>
        </is>
      </c>
      <c r="F156">
        <f>+34 932 71 80 69</f>
        <v/>
      </c>
      <c r="G156" t="inlineStr">
        <is>
          <t>info@clinicaegos.com</t>
        </is>
      </c>
      <c r="H156" t="inlineStr">
        <is>
          <t>Pending</t>
        </is>
      </c>
    </row>
    <row r="157">
      <c r="A157" t="inlineStr">
        <is>
          <t>Clínica Flórez</t>
        </is>
      </c>
      <c r="C157" t="inlineStr">
        <is>
          <t>HAIR SALON</t>
        </is>
      </c>
      <c r="D157" t="inlineStr">
        <is>
          <t>Via Augusta, 281, 3º planta, Sarrià-Sant Gervasi, 08017 Barcelona, Spain</t>
        </is>
      </c>
      <c r="E157" t="inlineStr">
        <is>
          <t>https://clinicaflorez.com/</t>
        </is>
      </c>
      <c r="F157">
        <f>+34 642 75 99 55</f>
        <v/>
      </c>
      <c r="H157" t="inlineStr">
        <is>
          <t>Pending</t>
        </is>
      </c>
    </row>
    <row r="158">
      <c r="A158" t="inlineStr">
        <is>
          <t>Clínica Frontela Barcelona</t>
        </is>
      </c>
      <c r="C158" t="inlineStr">
        <is>
          <t>HAIR SALON</t>
        </is>
      </c>
      <c r="D158" t="inlineStr">
        <is>
          <t>Carrer de Castellnou, 41, Sarrià-Sant Gervasi, 08017 Barcelona, Spain</t>
        </is>
      </c>
      <c r="E158" t="inlineStr">
        <is>
          <t>https://injertocapilarfrontela.com/injerto-capilar-barcelona/</t>
        </is>
      </c>
      <c r="F158">
        <f>+34 640 83 99 70</f>
        <v/>
      </c>
      <c r="H158" t="inlineStr">
        <is>
          <t>Pending</t>
        </is>
      </c>
    </row>
    <row r="159">
      <c r="A159" t="inlineStr">
        <is>
          <t>Clínica GMA - Barcelona</t>
        </is>
      </c>
      <c r="C159" t="inlineStr">
        <is>
          <t>HAIR SALON</t>
        </is>
      </c>
      <c r="D159" t="inlineStr">
        <is>
          <t>Av. Diagonal, 489, Les Corts, 08029 Barcelona, Spain</t>
        </is>
      </c>
      <c r="E159" t="inlineStr">
        <is>
          <t>http://www.clinicagma.com/</t>
        </is>
      </c>
      <c r="F159">
        <f>+34 935 50 01 06</f>
        <v/>
      </c>
      <c r="H159" t="inlineStr">
        <is>
          <t>Pending</t>
        </is>
      </c>
    </row>
    <row r="160">
      <c r="A160" t="inlineStr">
        <is>
          <t>Clínica Guadalupe González</t>
        </is>
      </c>
      <c r="C160" t="inlineStr">
        <is>
          <t>HAIR SALON</t>
        </is>
      </c>
      <c r="D160" t="inlineStr">
        <is>
          <t>Carrer del Rosselló, 18, 1 planta 2 puerta, Eixample, 08029 Barcelona, Spain</t>
        </is>
      </c>
      <c r="E160" t="inlineStr">
        <is>
          <t>http://micirugiaplastica.es/</t>
        </is>
      </c>
      <c r="F160">
        <f>+34 601 42 84 85</f>
        <v/>
      </c>
      <c r="H160" t="inlineStr">
        <is>
          <t>Pending</t>
        </is>
      </c>
    </row>
    <row r="161">
      <c r="A161" t="inlineStr">
        <is>
          <t>Clínica Herrero Jover Médicos</t>
        </is>
      </c>
      <c r="C161" t="inlineStr">
        <is>
          <t>HAIR SALON</t>
        </is>
      </c>
      <c r="D161" t="inlineStr">
        <is>
          <t>Carrer de Vilana, 12, Sarrià-Sant Gervasi, 08022 Barcelona, Spain</t>
        </is>
      </c>
      <c r="E161" t="inlineStr">
        <is>
          <t>https://www.herrerojovermedicos.com/</t>
        </is>
      </c>
      <c r="F161">
        <f>+34 933 93 31 63</f>
        <v/>
      </c>
      <c r="G161" t="inlineStr">
        <is>
          <t>info@herrerojovermedicos.com</t>
        </is>
      </c>
      <c r="H161" t="inlineStr">
        <is>
          <t>Pending</t>
        </is>
      </c>
    </row>
    <row r="162">
      <c r="A162" t="inlineStr">
        <is>
          <t>Clínica Internacional de Medicina Estética - CIME</t>
        </is>
      </c>
      <c r="C162" t="inlineStr">
        <is>
          <t>HAIR SALON</t>
        </is>
      </c>
      <c r="D162" t="inlineStr">
        <is>
          <t>Av. de Martí Pujol, 230, 08911 Badalona, Barcelona, Spain</t>
        </is>
      </c>
      <c r="E162" t="inlineStr">
        <is>
          <t>http://www.clinica-cime.com/</t>
        </is>
      </c>
      <c r="F162">
        <f>+34 616 94 28 25</f>
        <v/>
      </c>
      <c r="H162" t="inlineStr">
        <is>
          <t>Pending</t>
        </is>
      </c>
    </row>
    <row r="163">
      <c r="A163" t="inlineStr">
        <is>
          <t>Clínica Jacobovski</t>
        </is>
      </c>
      <c r="C163" t="inlineStr">
        <is>
          <t>HAIR SALON</t>
        </is>
      </c>
      <c r="D163" t="inlineStr">
        <is>
          <t>Pg. de Gràcia, 54, Planta 7, Puerta D, Eixample, 08007 Barcelona, Spain</t>
        </is>
      </c>
      <c r="E163" t="inlineStr">
        <is>
          <t>https://clinicajacobovski.es/?utm_source=google&amp;utm_medium=maps&amp;utm_campaign=GMB</t>
        </is>
      </c>
      <c r="F163">
        <f>+34 667 77 31 58</f>
        <v/>
      </c>
      <c r="H163" t="inlineStr">
        <is>
          <t>Pending</t>
        </is>
      </c>
    </row>
    <row r="164">
      <c r="A164" t="inlineStr">
        <is>
          <t>Clínica Keller</t>
        </is>
      </c>
      <c r="C164" t="inlineStr">
        <is>
          <t>HAIR SALON</t>
        </is>
      </c>
      <c r="D164" t="inlineStr">
        <is>
          <t>Via Augusta, 223, Planta baja, Sarrià-Sant Gervasi, 08021 Barcelona, Spain</t>
        </is>
      </c>
      <c r="E164" t="inlineStr">
        <is>
          <t>https://kellerhair.es/</t>
        </is>
      </c>
      <c r="F164">
        <f>+34 931 59 30 66</f>
        <v/>
      </c>
      <c r="H164" t="inlineStr">
        <is>
          <t>Pending</t>
        </is>
      </c>
    </row>
    <row r="165">
      <c r="A165" t="inlineStr">
        <is>
          <t>Clínica Mandri | Clínica Estética en Barcelona</t>
        </is>
      </c>
      <c r="C165" t="inlineStr">
        <is>
          <t>HAIR SALON</t>
        </is>
      </c>
      <c r="D165" t="inlineStr">
        <is>
          <t>Carrer de Bigai, 11, LOC 1, Sarrià-Sant Gervasi, 08022 Barcelona, Spain</t>
        </is>
      </c>
      <c r="E165" t="inlineStr">
        <is>
          <t>https://clinicamandri.com/</t>
        </is>
      </c>
      <c r="F165">
        <f>+34 932 54 77 46</f>
        <v/>
      </c>
      <c r="G165" t="inlineStr">
        <is>
          <t>info@clinicamandri.com</t>
        </is>
      </c>
      <c r="H165" t="inlineStr">
        <is>
          <t>Pending</t>
        </is>
      </c>
    </row>
    <row r="166">
      <c r="A166" t="inlineStr">
        <is>
          <t>Clínica Masculina Europea</t>
        </is>
      </c>
      <c r="C166" t="inlineStr">
        <is>
          <t>HAIR SALON</t>
        </is>
      </c>
      <c r="D166" t="inlineStr">
        <is>
          <t>Carrer de València, 281, 1r 2na, Eixample, 08009 Barcelona, Spain</t>
        </is>
      </c>
      <c r="E166" t="inlineStr">
        <is>
          <t>https://www.clinica-masculina.com/</t>
        </is>
      </c>
      <c r="F166">
        <f>+34 932 19 30 60</f>
        <v/>
      </c>
      <c r="G166" t="inlineStr">
        <is>
          <t>info@clinica-masculina.com</t>
        </is>
      </c>
      <c r="H166" t="inlineStr">
        <is>
          <t>Pending</t>
        </is>
      </c>
    </row>
    <row r="167">
      <c r="A167" t="inlineStr">
        <is>
          <t>Clínica Mi Tres Torres</t>
        </is>
      </c>
      <c r="C167" t="inlineStr">
        <is>
          <t>HAIR SALON</t>
        </is>
      </c>
      <c r="D167" t="inlineStr">
        <is>
          <t>Carrer del Dr. Roux, 76, Sarrià-Sant Gervasi, 08017 Barcelona, Spain</t>
        </is>
      </c>
      <c r="E167" t="inlineStr">
        <is>
          <t>http://www.mitrestorres.com/</t>
        </is>
      </c>
      <c r="F167">
        <f>+34 932 04 13 00</f>
        <v/>
      </c>
      <c r="G167" t="inlineStr">
        <is>
          <t>info@mitrestorres.com</t>
        </is>
      </c>
      <c r="H167" t="inlineStr">
        <is>
          <t>Pending</t>
        </is>
      </c>
    </row>
    <row r="168">
      <c r="A168" t="inlineStr">
        <is>
          <t>Clínica Mona Lisa</t>
        </is>
      </c>
      <c r="C168" t="inlineStr">
        <is>
          <t>HAIR SALON</t>
        </is>
      </c>
      <c r="D168" t="inlineStr">
        <is>
          <t>C/ de Muntaner, 225, Eixample, 08036 Barcelona, Spain</t>
        </is>
      </c>
      <c r="E168" t="inlineStr">
        <is>
          <t>https://clinicamonalisa.com/ru/%D0%BA%D0%BE%D0%BD%D1%82%D0%B0%D0%BA%D1%82%D1%8B-2/</t>
        </is>
      </c>
      <c r="F168">
        <f>+34 625 65 55 17</f>
        <v/>
      </c>
      <c r="H168" t="inlineStr">
        <is>
          <t>Pending</t>
        </is>
      </c>
    </row>
    <row r="169">
      <c r="A169" t="inlineStr">
        <is>
          <t>Clínica Odontològica Avançada</t>
        </is>
      </c>
      <c r="C169" t="inlineStr">
        <is>
          <t>HAIR SALON</t>
        </is>
      </c>
      <c r="D169" t="inlineStr">
        <is>
          <t>Gran Via de les Corts Catalanes, 622, Entlo 2, Eixample, 08007 Barcelona, Spain</t>
        </is>
      </c>
      <c r="E169" t="inlineStr">
        <is>
          <t>https://barcelona.cabeceran.com/clinica-dental-eixample/</t>
        </is>
      </c>
      <c r="F169">
        <f>+34 933 17 79 10</f>
        <v/>
      </c>
      <c r="H169" t="inlineStr">
        <is>
          <t>Pending</t>
        </is>
      </c>
    </row>
    <row r="170">
      <c r="A170" t="inlineStr">
        <is>
          <t>Clínica Riba | París, Barcelona.</t>
        </is>
      </c>
      <c r="C170" t="inlineStr">
        <is>
          <t>HAIR SALON</t>
        </is>
      </c>
      <c r="D170" t="inlineStr">
        <is>
          <t>Paris, 83 Consultes Externes Planta 6, 08029 Barcelona, Spain</t>
        </is>
      </c>
      <c r="E170" t="inlineStr">
        <is>
          <t>http://www.clinicariba.com/</t>
        </is>
      </c>
      <c r="F170">
        <f>+34 933 19 55 62</f>
        <v/>
      </c>
      <c r="H170" t="inlineStr">
        <is>
          <t>Pending</t>
        </is>
      </c>
    </row>
    <row r="171">
      <c r="A171" t="inlineStr">
        <is>
          <t>Clínica de cirugía plástica - Forever Beauty</t>
        </is>
      </c>
      <c r="C171" t="inlineStr">
        <is>
          <t>HAIR SALON</t>
        </is>
      </c>
      <c r="D171" t="inlineStr">
        <is>
          <t>Av. Diagonal, 628, 3-3, Sarrià-Sant Gervasi, 08017 Barcelona, Spain</t>
        </is>
      </c>
      <c r="E171" t="inlineStr">
        <is>
          <t>https://foreverbeauty.es/</t>
        </is>
      </c>
      <c r="F171">
        <f>+34 618 10 22 62</f>
        <v/>
      </c>
      <c r="G171" t="inlineStr">
        <is>
          <t>beauty@foreverbeauty.es</t>
        </is>
      </c>
      <c r="H171" t="inlineStr">
        <is>
          <t>Pending</t>
        </is>
      </c>
    </row>
    <row r="172">
      <c r="A172" t="inlineStr">
        <is>
          <t>Clínicas Dorsia Cirugía y Medicina Estética</t>
        </is>
      </c>
      <c r="C172" t="inlineStr">
        <is>
          <t>HAIR SALON</t>
        </is>
      </c>
      <c r="D172" t="inlineStr">
        <is>
          <t>Trav. de Dalt, 121, Gràcia, 08024 Barcelona, Spain</t>
        </is>
      </c>
      <c r="E172" t="inlineStr">
        <is>
          <t>https://www.dorsia.es/clinicas-dorsia/barcelona-travessera-dalt</t>
        </is>
      </c>
      <c r="F172">
        <f>+34 931 83 36 43</f>
        <v/>
      </c>
      <c r="H172" t="inlineStr">
        <is>
          <t>Pending</t>
        </is>
      </c>
    </row>
    <row r="173">
      <c r="A173" t="inlineStr">
        <is>
          <t>Colour Barcelona</t>
        </is>
      </c>
      <c r="C173" t="inlineStr">
        <is>
          <t>HAIR SALON</t>
        </is>
      </c>
      <c r="D173" t="inlineStr">
        <is>
          <t>Carrer d'Osi, 41, Sarrià-Sant Gervasi, 08034 Barcelona, Spain</t>
        </is>
      </c>
      <c r="F173">
        <f>+34 936 33 99 83</f>
        <v/>
      </c>
      <c r="H173" t="inlineStr">
        <is>
          <t>Pending</t>
        </is>
      </c>
    </row>
    <row r="174">
      <c r="A174" t="inlineStr">
        <is>
          <t>Cons Mesa</t>
        </is>
      </c>
      <c r="C174" t="inlineStr">
        <is>
          <t>HAIR SALON</t>
        </is>
      </c>
      <c r="D174" t="inlineStr">
        <is>
          <t>Av. de Josep Tarradellas i Joan, 213, Local 2, 08901 L'Hospitalet de Llobregat, Barcelona, Spain</t>
        </is>
      </c>
      <c r="F174">
        <f>+34 932 60 42 03</f>
        <v/>
      </c>
      <c r="G174" t="inlineStr">
        <is>
          <t>consmesaestilista@gmail.com</t>
        </is>
      </c>
      <c r="H174" t="inlineStr">
        <is>
          <t>Pending</t>
        </is>
      </c>
    </row>
    <row r="175">
      <c r="A175" t="inlineStr">
        <is>
          <t>Coolbrows</t>
        </is>
      </c>
      <c r="C175" t="inlineStr">
        <is>
          <t>HAIR SALON</t>
        </is>
      </c>
      <c r="D175" t="inlineStr">
        <is>
          <t>Via Laietana, 45, Ciutat Vella, 08003 Barcelona, Spain</t>
        </is>
      </c>
      <c r="E175" t="inlineStr">
        <is>
          <t>https://coolbrows.com/</t>
        </is>
      </c>
      <c r="F175">
        <f>+34 616 08 99 76</f>
        <v/>
      </c>
      <c r="H175" t="inlineStr">
        <is>
          <t>Pending</t>
        </is>
      </c>
    </row>
    <row r="176">
      <c r="A176" t="inlineStr">
        <is>
          <t>Corte &amp; Magia - Peluquería y Barbería en Barcelona</t>
        </is>
      </c>
      <c r="C176" t="inlineStr">
        <is>
          <t>HAIR SALON</t>
        </is>
      </c>
      <c r="D176" t="inlineStr">
        <is>
          <t>Carrer de Caballero, 51, Les Corts, 08014 Barcelona, Spain</t>
        </is>
      </c>
      <c r="F176">
        <f>+34 600 57 74 26</f>
        <v/>
      </c>
      <c r="H176" t="inlineStr">
        <is>
          <t>Pending</t>
        </is>
      </c>
    </row>
    <row r="177">
      <c r="A177" t="inlineStr">
        <is>
          <t>CosmoHair Clinic</t>
        </is>
      </c>
      <c r="C177" t="inlineStr">
        <is>
          <t>HAIR SALON</t>
        </is>
      </c>
      <c r="D177" t="inlineStr">
        <is>
          <t>Carrer del Consell de Cent, 417 - 419 PRINCIPAL, Eixample, 08009 Barcelona, Spain</t>
        </is>
      </c>
      <c r="E177" t="inlineStr">
        <is>
          <t>http://www.biologiadelcabello.com/</t>
        </is>
      </c>
      <c r="F177">
        <f>+34 613 03 14 35</f>
        <v/>
      </c>
      <c r="H177" t="inlineStr">
        <is>
          <t>Pending</t>
        </is>
      </c>
    </row>
    <row r="178">
      <c r="A178" t="inlineStr">
        <is>
          <t>Crearte Styling | Hair boutique</t>
        </is>
      </c>
      <c r="C178" t="inlineStr">
        <is>
          <t>HAIR SALON</t>
        </is>
      </c>
      <c r="D178" t="inlineStr">
        <is>
          <t>Carrer de Girona, 134, Eixample, 08037 Barcelona, Spain</t>
        </is>
      </c>
      <c r="F178">
        <f>+34 934 57 32 67</f>
        <v/>
      </c>
      <c r="G178" t="inlineStr">
        <is>
          <t>info@creartestyling.com</t>
        </is>
      </c>
      <c r="H178" t="inlineStr">
        <is>
          <t>Pending</t>
        </is>
      </c>
    </row>
    <row r="179">
      <c r="A179" t="inlineStr">
        <is>
          <t>Cristina Miró Estilistas</t>
        </is>
      </c>
      <c r="C179" t="inlineStr">
        <is>
          <t>HAIR SALON</t>
        </is>
      </c>
      <c r="D179" t="inlineStr">
        <is>
          <t>Carrer del Comte Borrell, 152, Eixample, 08015 Barcelona, Spain</t>
        </is>
      </c>
      <c r="F179">
        <f>+34 934 51 65 38</f>
        <v/>
      </c>
      <c r="G179" t="inlineStr">
        <is>
          <t>cristinamiroestilistas@gmail.com</t>
        </is>
      </c>
      <c r="H179" t="inlineStr">
        <is>
          <t>Pending</t>
        </is>
      </c>
    </row>
    <row r="180">
      <c r="A180" t="inlineStr">
        <is>
          <t>Cruz Bernases Peluqueros</t>
        </is>
      </c>
      <c r="C180" t="inlineStr">
        <is>
          <t>HAIR SALON</t>
        </is>
      </c>
      <c r="D180" t="inlineStr">
        <is>
          <t>Carrer Bòbiles, 25, 08905 L'Hospitalet de Llobregat, Barcelona, Spain</t>
        </is>
      </c>
      <c r="F180">
        <f>+34 934 48 20 17</f>
        <v/>
      </c>
      <c r="H180" t="inlineStr">
        <is>
          <t>Pending</t>
        </is>
      </c>
    </row>
    <row r="181">
      <c r="A181" t="inlineStr">
        <is>
          <t>Curly Lab</t>
        </is>
      </c>
      <c r="C181" t="inlineStr">
        <is>
          <t>HAIR SALON</t>
        </is>
      </c>
      <c r="D181" t="inlineStr">
        <is>
          <t>Carrer de la Diputació, 321, Eixample, 08009 Barcelona, Spain</t>
        </is>
      </c>
      <c r="F181">
        <f>+34 679 75 73 45</f>
        <v/>
      </c>
      <c r="H181" t="inlineStr">
        <is>
          <t>Pending</t>
        </is>
      </c>
    </row>
    <row r="182">
      <c r="A182" t="inlineStr">
        <is>
          <t>Cutter Studio Peluqueria Barcelona</t>
        </is>
      </c>
      <c r="C182" t="inlineStr">
        <is>
          <t>HAIR SALON</t>
        </is>
      </c>
      <c r="D182" t="inlineStr">
        <is>
          <t>Pl. de la Vila de Madrid, 6, Ciutat Vella, 08002 Barcelona, Spain</t>
        </is>
      </c>
      <c r="F182">
        <f>+34 635 19 35 53</f>
        <v/>
      </c>
      <c r="H182" t="inlineStr">
        <is>
          <t>Pending</t>
        </is>
      </c>
    </row>
    <row r="183">
      <c r="A183" t="inlineStr">
        <is>
          <t>Cànons Clinics Barcelona</t>
        </is>
      </c>
      <c r="C183" t="inlineStr">
        <is>
          <t>HAIR SALON</t>
        </is>
      </c>
      <c r="D183" t="inlineStr">
        <is>
          <t>Av. Diagonal, 354, Bajos, Eixample, 08013 Barcelona, Spain</t>
        </is>
      </c>
      <c r="E183" t="inlineStr">
        <is>
          <t>http://www.canons.es/</t>
        </is>
      </c>
      <c r="F183">
        <f>+34 683 27 07 09</f>
        <v/>
      </c>
      <c r="H183" t="inlineStr">
        <is>
          <t>Pending</t>
        </is>
      </c>
    </row>
    <row r="184">
      <c r="A184" t="inlineStr">
        <is>
          <t>Círculo Ecuestre</t>
        </is>
      </c>
      <c r="C184" t="inlineStr">
        <is>
          <t>HAIR SALON</t>
        </is>
      </c>
      <c r="D184" t="inlineStr">
        <is>
          <t>Carrer de Balmes, 169 bis, Sarrià-Sant Gervasi, 08006 Barcelona, Spain</t>
        </is>
      </c>
      <c r="E184" t="inlineStr">
        <is>
          <t>http://www.circuloecuestre.es/</t>
        </is>
      </c>
      <c r="F184">
        <f>+34 934 15 60 00</f>
        <v/>
      </c>
      <c r="H184" t="inlineStr">
        <is>
          <t>Pending</t>
        </is>
      </c>
    </row>
    <row r="185">
      <c r="A185" t="inlineStr">
        <is>
          <t>DAMbarbers Barcelona</t>
        </is>
      </c>
      <c r="C185" t="inlineStr">
        <is>
          <t>HAIR SALON</t>
        </is>
      </c>
      <c r="D185" t="inlineStr">
        <is>
          <t>Carrer d'En Mònec, 23, Ciutat Vella, 08003 Barcelona, Spain</t>
        </is>
      </c>
      <c r="F185">
        <f>+34 623 92 83 32</f>
        <v/>
      </c>
      <c r="G185" t="inlineStr">
        <is>
          <t>info@dambarbers.es</t>
        </is>
      </c>
      <c r="H185" t="inlineStr">
        <is>
          <t>Pending</t>
        </is>
      </c>
    </row>
    <row r="186">
      <c r="A186" t="inlineStr">
        <is>
          <t>DIVINA ESTÉTICA PREMIUM calle Ravella (General Mitre)</t>
        </is>
      </c>
      <c r="C186" t="inlineStr">
        <is>
          <t>HAIR SALON</t>
        </is>
      </c>
      <c r="D186" t="inlineStr">
        <is>
          <t>Carrer de Ravella, 2 bis, Sarrià-Sant Gervasi, 08021 Barcelona, Spain</t>
        </is>
      </c>
      <c r="F186">
        <f>+34 641 00 82 72</f>
        <v/>
      </c>
      <c r="H186" t="inlineStr">
        <is>
          <t>Pending</t>
        </is>
      </c>
    </row>
    <row r="187">
      <c r="A187" t="inlineStr">
        <is>
          <t>DR.CUT BARBER SHOP &amp; TATTOO</t>
        </is>
      </c>
      <c r="C187" t="inlineStr">
        <is>
          <t>HAIR SALON</t>
        </is>
      </c>
      <c r="D187" t="inlineStr">
        <is>
          <t>Rambla de Badal, 28, Sants-Montjuïc, 08014 Barcelona, Spain</t>
        </is>
      </c>
      <c r="F187">
        <f>+34 722 51 81 14</f>
        <v/>
      </c>
      <c r="G187" t="inlineStr">
        <is>
          <t>help.es@booksy.com</t>
        </is>
      </c>
      <c r="H187" t="inlineStr">
        <is>
          <t>Pending</t>
        </is>
      </c>
    </row>
    <row r="188">
      <c r="A188" t="inlineStr">
        <is>
          <t>Daniel Fernandez Estilistes | Peluquería</t>
        </is>
      </c>
      <c r="C188" t="inlineStr">
        <is>
          <t>HAIR SALON</t>
        </is>
      </c>
      <c r="D188" t="inlineStr">
        <is>
          <t>Pg. de la Zona Franca, 132, Sants-Montjuïc, 08038 Barcelona, Spain</t>
        </is>
      </c>
      <c r="F188">
        <f>+34 934 32 15 90</f>
        <v/>
      </c>
      <c r="H188" t="inlineStr">
        <is>
          <t>Pending</t>
        </is>
      </c>
    </row>
    <row r="189">
      <c r="A189" t="inlineStr">
        <is>
          <t>Danna Zenon Belleza Unisex Profesional</t>
        </is>
      </c>
      <c r="C189" t="inlineStr">
        <is>
          <t>HAIR SALON</t>
        </is>
      </c>
      <c r="D189" t="inlineStr">
        <is>
          <t>Carrer de Rocafort, 50, Local 9, Eixample, 08015 Barcelona, Spain</t>
        </is>
      </c>
      <c r="F189">
        <f>+34 651 77 56 48</f>
        <v/>
      </c>
      <c r="H189" t="inlineStr">
        <is>
          <t>Pending</t>
        </is>
      </c>
    </row>
    <row r="190">
      <c r="A190" t="inlineStr">
        <is>
          <t>Darwin Luna Hair Style</t>
        </is>
      </c>
      <c r="C190" t="inlineStr">
        <is>
          <t>HAIR SALON</t>
        </is>
      </c>
      <c r="D190" t="inlineStr">
        <is>
          <t>Carrer de Sant Frederic, 51, Sants-Montjuïc, 08028 Barcelona, Spain</t>
        </is>
      </c>
      <c r="F190">
        <f>+34 667 37 10 52</f>
        <v/>
      </c>
      <c r="H190" t="inlineStr">
        <is>
          <t>Pending</t>
        </is>
      </c>
    </row>
    <row r="191">
      <c r="A191" t="inlineStr">
        <is>
          <t>David L’H Barber</t>
        </is>
      </c>
      <c r="C191" t="inlineStr">
        <is>
          <t>HAIR SALON</t>
        </is>
      </c>
      <c r="D191" t="inlineStr">
        <is>
          <t>Carrer de Batllori, 3, local 2, 08901 L'Hospitalet de Llobregat, Barcelona, Spain</t>
        </is>
      </c>
      <c r="F191">
        <f>+34 644 20 57 92</f>
        <v/>
      </c>
      <c r="H191" t="inlineStr">
        <is>
          <t>Pending</t>
        </is>
      </c>
    </row>
    <row r="192">
      <c r="A192" t="inlineStr">
        <is>
          <t>Davinia R Salón de Belleza</t>
        </is>
      </c>
      <c r="C192" t="inlineStr">
        <is>
          <t>HAIR SALON</t>
        </is>
      </c>
      <c r="D192" t="inlineStr">
        <is>
          <t>Av. Mare de Déu de Bellvitge, 82, 08907 L'Hospitalet de Llobregat, Barcelona, Spain</t>
        </is>
      </c>
      <c r="F192">
        <f>+34 672 90 67 91</f>
        <v/>
      </c>
      <c r="H192" t="inlineStr">
        <is>
          <t>Pending</t>
        </is>
      </c>
    </row>
    <row r="193">
      <c r="A193" t="inlineStr">
        <is>
          <t>Depibcn</t>
        </is>
      </c>
      <c r="C193" t="inlineStr">
        <is>
          <t>HAIR SALON</t>
        </is>
      </c>
      <c r="D193" t="inlineStr">
        <is>
          <t>Carrer de Manso, 43, Eixample, 08015 Barcelona, Spain</t>
        </is>
      </c>
      <c r="F193">
        <f>+34 933 25 75 80</f>
        <v/>
      </c>
      <c r="H193" t="inlineStr">
        <is>
          <t>Pending</t>
        </is>
      </c>
    </row>
    <row r="194">
      <c r="A194" t="inlineStr">
        <is>
          <t>Depilación con Hilo y Peluquería Swami</t>
        </is>
      </c>
      <c r="C194" t="inlineStr">
        <is>
          <t>HAIR SALON</t>
        </is>
      </c>
      <c r="D194" t="inlineStr">
        <is>
          <t>Pça. Espanyola, 7, 08903 Barcelona, Spain</t>
        </is>
      </c>
      <c r="F194">
        <f>+34 631 84 82 29</f>
        <v/>
      </c>
      <c r="H194" t="inlineStr">
        <is>
          <t>Pending</t>
        </is>
      </c>
    </row>
    <row r="195">
      <c r="A195" t="inlineStr">
        <is>
          <t>Desengaño Hair Salón</t>
        </is>
      </c>
      <c r="C195" t="inlineStr">
        <is>
          <t>HAIR SALON</t>
        </is>
      </c>
      <c r="D195" t="inlineStr">
        <is>
          <t>C. de Portbou, 8, Sants-Montjuïc, 08028 Barcelona, Spain</t>
        </is>
      </c>
      <c r="F195">
        <f>+34 934 09 19 47</f>
        <v/>
      </c>
      <c r="H195" t="inlineStr">
        <is>
          <t>Pending</t>
        </is>
      </c>
    </row>
    <row r="196">
      <c r="A196" t="inlineStr">
        <is>
          <t>Dichiara Estilistas 8</t>
        </is>
      </c>
      <c r="C196" t="inlineStr">
        <is>
          <t>HAIR SALON</t>
        </is>
      </c>
      <c r="D196" t="inlineStr">
        <is>
          <t>Carrer del Consell de Cent, 224, Eixample, 08011 Barcelona, Spain</t>
        </is>
      </c>
      <c r="F196">
        <f>+34 934 51 33 22</f>
        <v/>
      </c>
      <c r="H196" t="inlineStr">
        <is>
          <t>Pending</t>
        </is>
      </c>
    </row>
    <row r="197">
      <c r="A197" t="inlineStr">
        <is>
          <t>Divine Perruqueria</t>
        </is>
      </c>
      <c r="C197" t="inlineStr">
        <is>
          <t>HAIR SALON</t>
        </is>
      </c>
      <c r="D197" t="inlineStr">
        <is>
          <t>Carrer de Calàbria, 200, LOCAL 1, Eixample, 08029 Barcelona, Spain</t>
        </is>
      </c>
      <c r="E197" t="inlineStr">
        <is>
          <t>https://www.instagram.com/zaradivinesalon/profilecard/?igsh=M2ZpNHkyNWRmc2Qx</t>
        </is>
      </c>
      <c r="F197">
        <f>+34 674 24 27 90</f>
        <v/>
      </c>
      <c r="H197" t="inlineStr">
        <is>
          <t>Pending</t>
        </is>
      </c>
    </row>
    <row r="198">
      <c r="A198" t="inlineStr">
        <is>
          <t>Doctor Francis Larrue - Medicina estética Barcelona</t>
        </is>
      </c>
      <c r="C198" t="inlineStr">
        <is>
          <t>HAIR SALON</t>
        </is>
      </c>
      <c r="D198" t="inlineStr">
        <is>
          <t>Pg. de Gràcia, 118, 2do Piso, Gràcia, 08008 A - Bufetmedic, Barcelona, Spain</t>
        </is>
      </c>
      <c r="F198">
        <f>+34 696 11 48 77</f>
        <v/>
      </c>
      <c r="H198" t="inlineStr">
        <is>
          <t>Pending</t>
        </is>
      </c>
    </row>
    <row r="199">
      <c r="A199" t="inlineStr">
        <is>
          <t>Doctora Melissa Garcia</t>
        </is>
      </c>
      <c r="C199" t="inlineStr">
        <is>
          <t>HAIR SALON</t>
        </is>
      </c>
      <c r="D199" t="inlineStr">
        <is>
          <t>Carrer de Còrsega, 270, Entresuelo 2, Eixample, 08008 Barcelona, Spain</t>
        </is>
      </c>
      <c r="E199" t="inlineStr">
        <is>
          <t>http://www.doctoramelissagarcia.com/</t>
        </is>
      </c>
      <c r="F199">
        <f>+34 653 26 63 17</f>
        <v/>
      </c>
      <c r="G199" t="inlineStr">
        <is>
          <t>info@doctoramelissagarcia.com</t>
        </is>
      </c>
      <c r="H199" t="inlineStr">
        <is>
          <t>Pending</t>
        </is>
      </c>
    </row>
    <row r="200">
      <c r="A200" t="inlineStr">
        <is>
          <t>Dr Alvaro Chaux</t>
        </is>
      </c>
      <c r="C200" t="inlineStr">
        <is>
          <t>HAIR SALON</t>
        </is>
      </c>
      <c r="D200" t="inlineStr">
        <is>
          <t>Carrer de la Diputació, 238-244, 4 planta, puerta 4, Eixample, 08009 Barcelona, Spain</t>
        </is>
      </c>
      <c r="E200" t="inlineStr">
        <is>
          <t>https://drchaux.es/</t>
        </is>
      </c>
      <c r="F200">
        <f>+34 644 05 75 69</f>
        <v/>
      </c>
      <c r="H200" t="inlineStr">
        <is>
          <t>Pending</t>
        </is>
      </c>
    </row>
    <row r="201">
      <c r="A201" t="inlineStr">
        <is>
          <t>Dr Jorge Pasquier</t>
        </is>
      </c>
      <c r="C201" t="inlineStr">
        <is>
          <t>HAIR SALON</t>
        </is>
      </c>
      <c r="D201" t="inlineStr">
        <is>
          <t>Carrer del Císter, 2, Bajos local 4, Sarrià-Sant Gervasi, 08022 Barcelona, Spain</t>
        </is>
      </c>
      <c r="E201" t="inlineStr">
        <is>
          <t>https://jorgepasquier.com/?utm_source=googlemybusiness&amp;utm_medium=organic&amp;utm_campaign=GoogleMyBusiness</t>
        </is>
      </c>
      <c r="F201">
        <f>+34 611 82 44 49</f>
        <v/>
      </c>
      <c r="H201" t="inlineStr">
        <is>
          <t>Pending</t>
        </is>
      </c>
    </row>
    <row r="202">
      <c r="A202" t="inlineStr">
        <is>
          <t>Dr. Domingo Bodet Castillo, Dermatólogo</t>
        </is>
      </c>
      <c r="C202" t="inlineStr">
        <is>
          <t>HAIR SALON</t>
        </is>
      </c>
      <c r="D202" t="inlineStr">
        <is>
          <t>Pg. de la Vall d'Hebron, 129, Horta-Guinardó, 08035 Barcelona, Spain</t>
        </is>
      </c>
      <c r="E202" t="inlineStr">
        <is>
          <t>https://www.doctoralia.es/domingo-bodet-castillo/dermatologo/barcelona?utm_source=google&amp;utm_medium=gmb&amp;utm_campaign=70149&amp;utm_content=website</t>
        </is>
      </c>
      <c r="H202" t="inlineStr">
        <is>
          <t>Pending</t>
        </is>
      </c>
    </row>
    <row r="203">
      <c r="A203" t="inlineStr">
        <is>
          <t>Dr. Dorian Gonzalez</t>
        </is>
      </c>
      <c r="C203" t="inlineStr">
        <is>
          <t>HAIR SALON</t>
        </is>
      </c>
      <c r="F203">
        <f>+34 932 03 28 12</f>
        <v/>
      </c>
      <c r="H203" t="inlineStr">
        <is>
          <t>Pending</t>
        </is>
      </c>
    </row>
    <row r="204">
      <c r="A204" t="inlineStr">
        <is>
          <t>Dr. Fabrizio Moscatiello</t>
        </is>
      </c>
      <c r="C204" t="inlineStr">
        <is>
          <t>HAIR SALON</t>
        </is>
      </c>
      <c r="D204" t="inlineStr">
        <is>
          <t>Via Augusta, 281, 4º planta, Sarrià-Sant Gervasi, 08017 Barcelona, Spain</t>
        </is>
      </c>
      <c r="E204" t="inlineStr">
        <is>
          <t>https://drmoscatiello.com/</t>
        </is>
      </c>
      <c r="F204">
        <f>+34 697 43 03 03</f>
        <v/>
      </c>
      <c r="H204" t="inlineStr">
        <is>
          <t>Pending</t>
        </is>
      </c>
    </row>
    <row r="205">
      <c r="A205" t="inlineStr">
        <is>
          <t>Dr. Joan Ramón Garcés Gatnau</t>
        </is>
      </c>
      <c r="C205" t="inlineStr">
        <is>
          <t>HAIR SALON</t>
        </is>
      </c>
      <c r="D205" t="inlineStr">
        <is>
          <t>Carrer de Vilana, 12, Despacho 124, Sarrià-Sant Gervasi, 08022 Barcelona, Spain</t>
        </is>
      </c>
      <c r="E205" t="inlineStr">
        <is>
          <t>https://www.dermaassociats.com/</t>
        </is>
      </c>
      <c r="F205">
        <f>+34 933 93 30 24</f>
        <v/>
      </c>
      <c r="H205" t="inlineStr">
        <is>
          <t>Pending</t>
        </is>
      </c>
    </row>
    <row r="206">
      <c r="A206" t="inlineStr">
        <is>
          <t>Dr. Jorge Planas</t>
        </is>
      </c>
      <c r="C206" t="inlineStr">
        <is>
          <t>HAIR SALON</t>
        </is>
      </c>
      <c r="D206" t="inlineStr">
        <is>
          <t>Carrer de Pere II de Montcada, 16, Sarrià-Sant Gervasi, 08034 Barcelona, Spain</t>
        </is>
      </c>
      <c r="E206" t="inlineStr">
        <is>
          <t>https://www.clinicaplanas.com/</t>
        </is>
      </c>
      <c r="F206">
        <f>+34 931 54 97 98</f>
        <v/>
      </c>
      <c r="G206" t="inlineStr">
        <is>
          <t>doctor@clinicaplanas.com</t>
        </is>
      </c>
      <c r="H206" t="inlineStr">
        <is>
          <t>Pending</t>
        </is>
      </c>
    </row>
    <row r="207">
      <c r="A207" t="inlineStr">
        <is>
          <t>Dr. José Luis Martínez Meseguer</t>
        </is>
      </c>
      <c r="C207" t="inlineStr">
        <is>
          <t>HAIR SALON</t>
        </is>
      </c>
      <c r="D207" t="inlineStr">
        <is>
          <t>despacho 181, Carrer de Vilana, 12, 3ª planta, Sarrià-Sant Gervasi, 08022 Barcelona, Spain</t>
        </is>
      </c>
      <c r="E207" t="inlineStr">
        <is>
          <t>https://www.topdoctors.es/doctor/jose-luis-martinez</t>
        </is>
      </c>
      <c r="F207">
        <f>+34 931 54 99 29</f>
        <v/>
      </c>
      <c r="H207" t="inlineStr">
        <is>
          <t>Pending</t>
        </is>
      </c>
    </row>
    <row r="208">
      <c r="A208" t="inlineStr">
        <is>
          <t>Dr. Michalis Georgiou</t>
        </is>
      </c>
      <c r="C208" t="inlineStr">
        <is>
          <t>HAIR SALON</t>
        </is>
      </c>
      <c r="D208" t="inlineStr">
        <is>
          <t>Pg. de St. Joan, 123, Eixample, 08037 Barcelona, Spain</t>
        </is>
      </c>
      <c r="E208" t="inlineStr">
        <is>
          <t>https://www.topdoctors.es/doctor/michalis-georgiou</t>
        </is>
      </c>
      <c r="F208">
        <f>+34 936 28 23 89</f>
        <v/>
      </c>
      <c r="H208" t="inlineStr">
        <is>
          <t>Pending</t>
        </is>
      </c>
    </row>
    <row r="209">
      <c r="A209" t="inlineStr">
        <is>
          <t>Dr. Vicente Paloma Mora</t>
        </is>
      </c>
      <c r="C209" t="inlineStr">
        <is>
          <t>HAIR SALON</t>
        </is>
      </c>
      <c r="D209" t="inlineStr">
        <is>
          <t>Carrer de Vilana, nº 12, Sarrià-Sant Gervasi, 08022 Barcelona, Spain</t>
        </is>
      </c>
      <c r="E209" t="inlineStr">
        <is>
          <t>https://drpaloma.com/</t>
        </is>
      </c>
      <c r="F209">
        <f>+34 601 89 53 85</f>
        <v/>
      </c>
      <c r="G209" t="inlineStr">
        <is>
          <t>your@email</t>
        </is>
      </c>
      <c r="H209" t="inlineStr">
        <is>
          <t>Pending</t>
        </is>
      </c>
    </row>
    <row r="210">
      <c r="A210" t="inlineStr">
        <is>
          <t>Dr. Xavier Bigatà Viscasillas</t>
        </is>
      </c>
      <c r="C210" t="inlineStr">
        <is>
          <t>HAIR SALON</t>
        </is>
      </c>
      <c r="D210" t="inlineStr">
        <is>
          <t>Consultas externas, Carrer de Sabino Arana, 5-19, 3ª planta, Les Corts, 08028 Barcelona, Spain</t>
        </is>
      </c>
      <c r="E210" t="inlineStr">
        <is>
          <t>https://www.topdoctors.es/doctor/xavier-bigata-viscasillas</t>
        </is>
      </c>
      <c r="F210">
        <f>+34 931 54 96 50</f>
        <v/>
      </c>
      <c r="H210" t="inlineStr">
        <is>
          <t>Pending</t>
        </is>
      </c>
    </row>
    <row r="211">
      <c r="A211" t="inlineStr">
        <is>
          <t>Dra XiaoLi Yang</t>
        </is>
      </c>
      <c r="C211" t="inlineStr">
        <is>
          <t>HAIR SALON</t>
        </is>
      </c>
      <c r="D211" t="inlineStr">
        <is>
          <t>Carrer de Nicaragua, 57, 1º 1ª, Sants-Montjuïc, 08029 Barcelona, Spain</t>
        </is>
      </c>
      <c r="F211">
        <f>+34 618 91 86 36</f>
        <v/>
      </c>
      <c r="H211" t="inlineStr">
        <is>
          <t>Pending</t>
        </is>
      </c>
    </row>
    <row r="212">
      <c r="A212" t="inlineStr">
        <is>
          <t>Dra. Ana Trius Chassaigne</t>
        </is>
      </c>
      <c r="C212" t="inlineStr">
        <is>
          <t>HAIR SALON</t>
        </is>
      </c>
      <c r="D212" t="inlineStr">
        <is>
          <t>Carrer de Balmes, 310, 1º 2ª, Sarrià-Sant Gervasi, 08006 Barcelona, Spain</t>
        </is>
      </c>
      <c r="E212" t="inlineStr">
        <is>
          <t>https://www.institiutotrius.com/</t>
        </is>
      </c>
      <c r="F212">
        <f>+34 934 14 25 55</f>
        <v/>
      </c>
      <c r="H212" t="inlineStr">
        <is>
          <t>Pending</t>
        </is>
      </c>
    </row>
    <row r="213">
      <c r="A213" t="inlineStr">
        <is>
          <t>Dra. Andrea Borja</t>
        </is>
      </c>
      <c r="C213" t="inlineStr">
        <is>
          <t>HAIR SALON</t>
        </is>
      </c>
      <c r="D213" t="inlineStr">
        <is>
          <t>Rambla de Catalunya, 120, Principal 3ª, Eixample, 08008 Barcelona, Spain</t>
        </is>
      </c>
      <c r="E213" t="inlineStr">
        <is>
          <t>https://draandreaborja.com/</t>
        </is>
      </c>
      <c r="F213">
        <f>+34 627 07 07 46</f>
        <v/>
      </c>
      <c r="H213" t="inlineStr">
        <is>
          <t>Pending</t>
        </is>
      </c>
    </row>
    <row r="214">
      <c r="A214" t="inlineStr">
        <is>
          <t>Dra. Bettina Tiravanti Campos</t>
        </is>
      </c>
      <c r="C214" t="inlineStr">
        <is>
          <t>HAIR SALON</t>
        </is>
      </c>
      <c r="D214" t="inlineStr">
        <is>
          <t>Pg. de St. Joan, 123, Eixample, 08037 Barcelona, Spain</t>
        </is>
      </c>
      <c r="E214" t="inlineStr">
        <is>
          <t>https://www.topdoctors.es/doctor/bettina-tiravanti-campos</t>
        </is>
      </c>
      <c r="F214">
        <f>+34 936 28 23 89</f>
        <v/>
      </c>
      <c r="H214" t="inlineStr">
        <is>
          <t>Pending</t>
        </is>
      </c>
    </row>
    <row r="215">
      <c r="A215" t="inlineStr">
        <is>
          <t>Dra. Magdalena Szymanska Bueno, Dermatólogo</t>
        </is>
      </c>
      <c r="C215" t="inlineStr">
        <is>
          <t>HAIR SALON</t>
        </is>
      </c>
      <c r="D215" t="inlineStr">
        <is>
          <t>Av. Diagonal, 489, Les Corts, 08029 Barcelona, Spain</t>
        </is>
      </c>
      <c r="E215" t="inlineStr">
        <is>
          <t>https://www.doctoralia.es/magdalena-szymanska-bueno-4/dermatologo-medico-estetico/barcelona?utm_source=google&amp;utm_medium=gmb&amp;utm_campaign=157981&amp;utm_content=website</t>
        </is>
      </c>
      <c r="F215">
        <f>+34 659 15 33 80</f>
        <v/>
      </c>
      <c r="H215" t="inlineStr">
        <is>
          <t>Pending</t>
        </is>
      </c>
    </row>
    <row r="216">
      <c r="A216" t="inlineStr">
        <is>
          <t>Dra. Marina Garrido Romero, Cirujano general</t>
        </is>
      </c>
      <c r="C216" t="inlineStr">
        <is>
          <t>HAIR SALON</t>
        </is>
      </c>
      <c r="D216" t="inlineStr">
        <is>
          <t>Carrer del Marquès de Sentmenat, 54, 2º3ª, Les Corts, 08029 Barcelona, Spain</t>
        </is>
      </c>
      <c r="E216" t="inlineStr">
        <is>
          <t>https://www.doctoralia.es/marina-garrido-romero/cirujano-general-medico-estetico/barcelona?utm_source=google&amp;utm_medium=gmb&amp;utm_campaign=80605&amp;utm_content=website</t>
        </is>
      </c>
      <c r="H216" t="inlineStr">
        <is>
          <t>Pending</t>
        </is>
      </c>
    </row>
    <row r="217">
      <c r="A217" t="inlineStr">
        <is>
          <t>Dra. Mireia Ruiz Castilla</t>
        </is>
      </c>
      <c r="C217" t="inlineStr">
        <is>
          <t>HAIR SALON</t>
        </is>
      </c>
      <c r="D217" t="inlineStr">
        <is>
          <t>Plaça d'Alfonso Comín, 5, 7, 2ª planta, consultas 209 y 210, Gràcia, 08023 Barcelona, Spain</t>
        </is>
      </c>
      <c r="E217" t="inlineStr">
        <is>
          <t>https://www.topdoctors.es/doctor/mireia-ruiz-castilla</t>
        </is>
      </c>
      <c r="F217">
        <f>+34 932 55 40 92</f>
        <v/>
      </c>
      <c r="H217" t="inlineStr">
        <is>
          <t>Pending</t>
        </is>
      </c>
    </row>
    <row r="218">
      <c r="A218" t="inlineStr">
        <is>
          <t>Dra. Munera - Dermatología</t>
        </is>
      </c>
      <c r="C218" t="inlineStr">
        <is>
          <t>HAIR SALON</t>
        </is>
      </c>
      <c r="D218" t="inlineStr">
        <is>
          <t>Carrer dels Arbres, 53, Planta 3 Dermatología (Planta 3, 08912 Badalona, Barcelona, Spain</t>
        </is>
      </c>
      <c r="E218" t="inlineStr">
        <is>
          <t>https://www.dermatologiabadalona.com/</t>
        </is>
      </c>
      <c r="H218" t="inlineStr">
        <is>
          <t>Pending</t>
        </is>
      </c>
    </row>
    <row r="219">
      <c r="A219" t="inlineStr">
        <is>
          <t>Dra. Rosalba Herrero | RH Clinic | Medicina Estética</t>
        </is>
      </c>
      <c r="C219" t="inlineStr">
        <is>
          <t>HAIR SALON</t>
        </is>
      </c>
      <c r="D219" t="inlineStr">
        <is>
          <t>Carrer d'Aragó, 287, 3º-2ªB, Eixample, 08009 Barcelona, Spain</t>
        </is>
      </c>
      <c r="E219" t="inlineStr">
        <is>
          <t>https://drarosalbaherrero.com/?utm_source=google&amp;utm_medium=organic&amp;utm_campaign=GBP</t>
        </is>
      </c>
      <c r="F219">
        <f>+34 683 12 55 12</f>
        <v/>
      </c>
      <c r="H219" t="inlineStr">
        <is>
          <t>Pending</t>
        </is>
      </c>
    </row>
    <row r="220">
      <c r="A220" t="inlineStr">
        <is>
          <t>Dream Body Sants | Estética | Masaje | Masajes En Pareja | Masaje Relajante | Lpg | Indiba | Zona Sants | Barcelona</t>
        </is>
      </c>
      <c r="C220" t="inlineStr">
        <is>
          <t>HAIR SALON</t>
        </is>
      </c>
      <c r="D220" t="inlineStr">
        <is>
          <t>Passatge de Serra i Arola, 15, Sants-Montjuïc, 08028 Barcelona, Spain</t>
        </is>
      </c>
      <c r="E220" t="inlineStr">
        <is>
          <t>http://dreambodysants.com/</t>
        </is>
      </c>
      <c r="F220">
        <f>+34 665 16 92 60</f>
        <v/>
      </c>
      <c r="G220" t="inlineStr">
        <is>
          <t>info@dreambodysants.com</t>
        </is>
      </c>
      <c r="H220" t="inlineStr">
        <is>
          <t>Pending</t>
        </is>
      </c>
    </row>
    <row r="221">
      <c r="A221" t="inlineStr">
        <is>
          <t>Dtox Hair Salon</t>
        </is>
      </c>
      <c r="C221" t="inlineStr">
        <is>
          <t>HAIR SALON</t>
        </is>
      </c>
      <c r="D221" t="inlineStr">
        <is>
          <t>Carrer dels Tallers, 77, 1ra, Ciutat Vella, 08001 Barcelona, Spain</t>
        </is>
      </c>
      <c r="F221">
        <f>+34 931 24 60 91</f>
        <v/>
      </c>
      <c r="G221" t="inlineStr">
        <is>
          <t>salon@dtoxbcn.com</t>
        </is>
      </c>
      <c r="H221" t="inlineStr">
        <is>
          <t>Pending</t>
        </is>
      </c>
    </row>
    <row r="222">
      <c r="A222" t="inlineStr">
        <is>
          <t>Duplex Barberia Salon SPA</t>
        </is>
      </c>
      <c r="C222" t="inlineStr">
        <is>
          <t>HAIR SALON</t>
        </is>
      </c>
      <c r="D222" t="inlineStr">
        <is>
          <t>Carrer de Carreras i Candi, 64, Sants-Montjuïc, 08028 Barcelona, Spain</t>
        </is>
      </c>
      <c r="F222">
        <f>+34 931 99 75 99</f>
        <v/>
      </c>
      <c r="H222" t="inlineStr">
        <is>
          <t>Pending</t>
        </is>
      </c>
    </row>
    <row r="223">
      <c r="A223" t="inlineStr">
        <is>
          <t>EGLYS STYLE &amp; BARBER</t>
        </is>
      </c>
      <c r="C223" t="inlineStr">
        <is>
          <t>HAIR SALON</t>
        </is>
      </c>
      <c r="D223" t="inlineStr">
        <is>
          <t>Carrer de la Mare de Déu de Port, 252, Sants-Montjuïc, 08038 Barcelona, Spain</t>
        </is>
      </c>
      <c r="F223">
        <f>+34 641 69 26 08</f>
        <v/>
      </c>
      <c r="H223" t="inlineStr">
        <is>
          <t>Pending</t>
        </is>
      </c>
    </row>
    <row r="224">
      <c r="A224" t="inlineStr">
        <is>
          <t>ELEGANT BARBER SHOP</t>
        </is>
      </c>
      <c r="C224" t="inlineStr">
        <is>
          <t>HAIR SALON</t>
        </is>
      </c>
      <c r="D224" t="inlineStr">
        <is>
          <t>Carrer Enginyer Moncunill, 21, 08905 L'Hospitalet de Llobregat, Barcelona, Spain</t>
        </is>
      </c>
      <c r="F224">
        <f>+34 631 62 75 34</f>
        <v/>
      </c>
      <c r="H224" t="inlineStr">
        <is>
          <t>Pending</t>
        </is>
      </c>
    </row>
    <row r="225">
      <c r="A225" t="inlineStr">
        <is>
          <t>ELIJAH Salon | Barber | Tattoo - Laietana</t>
        </is>
      </c>
      <c r="C225" t="inlineStr">
        <is>
          <t>HAIR SALON</t>
        </is>
      </c>
      <c r="D225" t="inlineStr">
        <is>
          <t>Via Laietana, 27, Ciutat Vella, 08003 Barcelona, Spain</t>
        </is>
      </c>
      <c r="F225">
        <f>+34 932 32 60 92</f>
        <v/>
      </c>
      <c r="H225" t="inlineStr">
        <is>
          <t>Pending</t>
        </is>
      </c>
    </row>
    <row r="226">
      <c r="A226" t="inlineStr">
        <is>
          <t>EXTENSIONmania</t>
        </is>
      </c>
      <c r="C226" t="inlineStr">
        <is>
          <t>HAIR SALON</t>
        </is>
      </c>
      <c r="D226" t="inlineStr">
        <is>
          <t>Travessera de Gràcia, 40, Sarrià-Sant Gervasi, 08021 Barcelona, Spain</t>
        </is>
      </c>
      <c r="F226">
        <f>+34 935 28 15 79</f>
        <v/>
      </c>
      <c r="G226" t="inlineStr">
        <is>
          <t>info@extensionmania.com</t>
        </is>
      </c>
      <c r="H226" t="inlineStr">
        <is>
          <t>Pending</t>
        </is>
      </c>
    </row>
    <row r="227">
      <c r="A227" t="inlineStr">
        <is>
          <t>Eclipsia Peluquería</t>
        </is>
      </c>
      <c r="C227" t="inlineStr">
        <is>
          <t>HAIR SALON</t>
        </is>
      </c>
      <c r="D227" t="inlineStr">
        <is>
          <t>Carrer Muns, 20, 08902 L'Hospitalet de Llobregat, Barcelona, Spain</t>
        </is>
      </c>
      <c r="F227">
        <f>+34 647 68 27 17</f>
        <v/>
      </c>
      <c r="H227" t="inlineStr">
        <is>
          <t>Pending</t>
        </is>
      </c>
    </row>
    <row r="228">
      <c r="A228" t="inlineStr">
        <is>
          <t>Eduard Estilistas</t>
        </is>
      </c>
      <c r="C228" t="inlineStr">
        <is>
          <t>HAIR SALON</t>
        </is>
      </c>
      <c r="D228" t="inlineStr">
        <is>
          <t>Carrer de Rocafort, 161, Eixample, 08015 Barcelona, Spain</t>
        </is>
      </c>
      <c r="F228">
        <f>+34 932 26 33 81</f>
        <v/>
      </c>
      <c r="H228" t="inlineStr">
        <is>
          <t>Pending</t>
        </is>
      </c>
    </row>
    <row r="229">
      <c r="A229" t="inlineStr">
        <is>
          <t>Efrén y Elen Estilistas</t>
        </is>
      </c>
      <c r="C229" t="inlineStr">
        <is>
          <t>HAIR SALON</t>
        </is>
      </c>
      <c r="D229" t="inlineStr">
        <is>
          <t>Carrer Font, 16, 08905 L'Hospitalet de Llobregat, Barcelona, Spain</t>
        </is>
      </c>
      <c r="F229">
        <f>+34 634 72 69 15</f>
        <v/>
      </c>
      <c r="H229" t="inlineStr">
        <is>
          <t>Pending</t>
        </is>
      </c>
    </row>
    <row r="230">
      <c r="A230" t="inlineStr">
        <is>
          <t>El 28 Curly Peluquería Barcelona</t>
        </is>
      </c>
      <c r="C230" t="inlineStr">
        <is>
          <t>HAIR SALON</t>
        </is>
      </c>
      <c r="D230" t="inlineStr">
        <is>
          <t>Carrer de la Diputació, 28, Local 2, Eixample, 08015 Barcelona, Spain</t>
        </is>
      </c>
      <c r="F230">
        <f>+34 622 82 80 40</f>
        <v/>
      </c>
      <c r="G230" t="inlineStr">
        <is>
          <t>el28academy@gmail.com</t>
        </is>
      </c>
      <c r="H230" t="inlineStr">
        <is>
          <t>Pending</t>
        </is>
      </c>
    </row>
    <row r="231">
      <c r="A231" t="inlineStr">
        <is>
          <t>El Teu Moment, Centre de Benestar i Bellesa</t>
        </is>
      </c>
      <c r="C231" t="inlineStr">
        <is>
          <t>HAIR SALON</t>
        </is>
      </c>
      <c r="D231" t="inlineStr">
        <is>
          <t>Carrer de Sugranyes, 78, Sants-Montjuïc, 08028 Barcelona, Spain</t>
        </is>
      </c>
      <c r="E231" t="inlineStr">
        <is>
          <t>http://www.elteumoment.es/</t>
        </is>
      </c>
      <c r="F231">
        <f>+34 605 95 88 55</f>
        <v/>
      </c>
      <c r="H231" t="inlineStr">
        <is>
          <t>Pending</t>
        </is>
      </c>
    </row>
    <row r="232">
      <c r="A232" t="inlineStr">
        <is>
          <t>El Tocador Barcelona</t>
        </is>
      </c>
      <c r="C232" t="inlineStr">
        <is>
          <t>HAIR SALON</t>
        </is>
      </c>
      <c r="D232" t="inlineStr">
        <is>
          <t>Carrer de Sant Pere Més Baix, 71, Ciutat Vella, 08003 Barcelona, Spain</t>
        </is>
      </c>
      <c r="F232">
        <f>+34 933 19 16 78</f>
        <v/>
      </c>
      <c r="H232" t="inlineStr">
        <is>
          <t>Pending</t>
        </is>
      </c>
    </row>
    <row r="233">
      <c r="A233" t="inlineStr">
        <is>
          <t>Elegance Medical</t>
        </is>
      </c>
      <c r="C233" t="inlineStr">
        <is>
          <t>HAIR SALON</t>
        </is>
      </c>
      <c r="D233" t="inlineStr">
        <is>
          <t>Carrer de l'Equador, 3, Sants-Montjuïc, 08029 Barcelona, Spain</t>
        </is>
      </c>
      <c r="F233">
        <f>+34 633 24 86 46</f>
        <v/>
      </c>
      <c r="H233" t="inlineStr">
        <is>
          <t>Pending</t>
        </is>
      </c>
    </row>
    <row r="234">
      <c r="A234" t="inlineStr">
        <is>
          <t>Elena Rodríguez Eldan’s colorists Peluquería</t>
        </is>
      </c>
      <c r="C234" t="inlineStr">
        <is>
          <t>HAIR SALON</t>
        </is>
      </c>
      <c r="D234" t="inlineStr">
        <is>
          <t>Carrer d'Enric Prat de la Riba, 266, bajo, 08901 L'Hospitalet de Llobregat, Barcelona, Spain</t>
        </is>
      </c>
      <c r="F234">
        <f>+34 932 63 18 35</f>
        <v/>
      </c>
      <c r="H234" t="inlineStr">
        <is>
          <t>Pending</t>
        </is>
      </c>
    </row>
    <row r="235">
      <c r="A235" t="inlineStr">
        <is>
          <t>Enlace Salon</t>
        </is>
      </c>
      <c r="C235" t="inlineStr">
        <is>
          <t>HAIR SALON</t>
        </is>
      </c>
      <c r="D235" t="inlineStr">
        <is>
          <t>Carrer del Rec, 28, Ciutat Vella, 08003 Barcelona, Spain</t>
        </is>
      </c>
      <c r="F235">
        <f>+34 930 25 09 74</f>
        <v/>
      </c>
      <c r="H235" t="inlineStr">
        <is>
          <t>Pending</t>
        </is>
      </c>
    </row>
    <row r="236">
      <c r="A236" t="inlineStr">
        <is>
          <t>Enredos Estilistes SL</t>
        </is>
      </c>
      <c r="C236" t="inlineStr">
        <is>
          <t>HAIR SALON</t>
        </is>
      </c>
      <c r="D236" t="inlineStr">
        <is>
          <t>Carrer de València, 42, Local 6, Eixample, 08015 Barcelona, Spain</t>
        </is>
      </c>
      <c r="F236">
        <f>+34 932 26 58 88</f>
        <v/>
      </c>
      <c r="H236" t="inlineStr">
        <is>
          <t>Pending</t>
        </is>
      </c>
    </row>
    <row r="237">
      <c r="A237" t="inlineStr">
        <is>
          <t>Enric Mas Estilista</t>
        </is>
      </c>
      <c r="C237" t="inlineStr">
        <is>
          <t>HAIR SALON</t>
        </is>
      </c>
      <c r="D237" t="inlineStr">
        <is>
          <t>Carrer Arquitectura, 18, 08908 L'Hospitalet de Llobregat, Barcelona, Spain</t>
        </is>
      </c>
      <c r="F237">
        <f>+34 934 31 50 64</f>
        <v/>
      </c>
      <c r="H237" t="inlineStr">
        <is>
          <t>Pending</t>
        </is>
      </c>
    </row>
    <row r="238">
      <c r="A238" t="inlineStr">
        <is>
          <t>Ephymer by Miriam Martos</t>
        </is>
      </c>
      <c r="C238" t="inlineStr">
        <is>
          <t>HAIR SALON</t>
        </is>
      </c>
      <c r="D238" t="inlineStr">
        <is>
          <t>Av. Diagonal, 402, Eixample, 08037 Barcelona, Spain</t>
        </is>
      </c>
      <c r="E238" t="inlineStr">
        <is>
          <t>http://www.ephymer.com/</t>
        </is>
      </c>
      <c r="F238">
        <f>+34 937 14 53 17</f>
        <v/>
      </c>
      <c r="G238" t="inlineStr">
        <is>
          <t>info@ephymer.com</t>
        </is>
      </c>
      <c r="H238" t="inlineStr">
        <is>
          <t>Pending</t>
        </is>
      </c>
    </row>
    <row r="239">
      <c r="A239" t="inlineStr">
        <is>
          <t>Erika perruqueria unisex</t>
        </is>
      </c>
      <c r="C239" t="inlineStr">
        <is>
          <t>HAIR SALON</t>
        </is>
      </c>
      <c r="D239" t="inlineStr">
        <is>
          <t>Carr. de Collblanc, 152, Les Corts, 08028 Barcelona, Spain</t>
        </is>
      </c>
      <c r="F239">
        <f>+34 931 87 46 89</f>
        <v/>
      </c>
      <c r="H239" t="inlineStr">
        <is>
          <t>Pending</t>
        </is>
      </c>
    </row>
    <row r="240">
      <c r="A240" t="inlineStr">
        <is>
          <t>Eshubarber Vilamarí - Barberia a l'Eixample</t>
        </is>
      </c>
      <c r="C240" t="inlineStr">
        <is>
          <t>HAIR SALON</t>
        </is>
      </c>
      <c r="D240" t="inlineStr">
        <is>
          <t>Carrer de Vilamarí, 65, Eixample, 08015 Barcelona, Spain</t>
        </is>
      </c>
      <c r="F240">
        <f>+34 698 27 89 19</f>
        <v/>
      </c>
      <c r="H240" t="inlineStr">
        <is>
          <t>Pending</t>
        </is>
      </c>
    </row>
    <row r="241">
      <c r="A241" t="inlineStr">
        <is>
          <t>Espacio de Salud ADDSANA París</t>
        </is>
      </c>
      <c r="C241" t="inlineStr">
        <is>
          <t>HAIR SALON</t>
        </is>
      </c>
      <c r="D241" t="inlineStr">
        <is>
          <t>Carrer de París, 127, Eixample, 08036 Barcelona, Spain</t>
        </is>
      </c>
      <c r="E241" t="inlineStr">
        <is>
          <t>http://www.addsana.com/espacio-salud-paris/</t>
        </is>
      </c>
      <c r="F241">
        <f>+34 934 94 22 17</f>
        <v/>
      </c>
      <c r="H241" t="inlineStr">
        <is>
          <t>Pending</t>
        </is>
      </c>
    </row>
    <row r="242">
      <c r="A242" t="inlineStr">
        <is>
          <t>Estetic Marina | Peluquería Sants | Especialista en Color</t>
        </is>
      </c>
      <c r="C242" t="inlineStr">
        <is>
          <t>HAIR SALON</t>
        </is>
      </c>
      <c r="D242" t="inlineStr">
        <is>
          <t>Carrer de l'Àliga, 33, Sants-Montjuïc, 08014 Barcelona, Spain</t>
        </is>
      </c>
      <c r="E242" t="inlineStr">
        <is>
          <t>https://esteticmarinasants.es/?utm_source=google&amp;utm_medium=organic&amp;utm_campaign=gbp</t>
        </is>
      </c>
      <c r="F242">
        <f>+34 653 03 93 45</f>
        <v/>
      </c>
      <c r="G242" t="inlineStr">
        <is>
          <t>info@esteticmarinasants.es</t>
        </is>
      </c>
      <c r="H242" t="inlineStr">
        <is>
          <t>Pending</t>
        </is>
      </c>
    </row>
    <row r="243">
      <c r="A243" t="inlineStr">
        <is>
          <t>Estilo Peluqueria</t>
        </is>
      </c>
      <c r="C243" t="inlineStr">
        <is>
          <t>HAIR SALON</t>
        </is>
      </c>
      <c r="D243" t="inlineStr">
        <is>
          <t>Plaça de la Llana, 10, Ciutat Vella, 08003 Barcelona, Spain</t>
        </is>
      </c>
      <c r="H243" t="inlineStr">
        <is>
          <t>Pending</t>
        </is>
      </c>
    </row>
    <row r="244">
      <c r="A244" t="inlineStr">
        <is>
          <t>Estilo Unico Perruqueria</t>
        </is>
      </c>
      <c r="C244" t="inlineStr">
        <is>
          <t>HAIR SALON</t>
        </is>
      </c>
      <c r="D244" t="inlineStr">
        <is>
          <t>Carrer de la Mare de Déu de Port, 269, Sants-Montjuïc, 08038 Barcelona, Spain</t>
        </is>
      </c>
      <c r="F244">
        <f>+34 667 69 92 84</f>
        <v/>
      </c>
      <c r="H244" t="inlineStr">
        <is>
          <t>Pending</t>
        </is>
      </c>
    </row>
    <row r="245">
      <c r="A245" t="inlineStr">
        <is>
          <t>Eternal Hair Clinic</t>
        </is>
      </c>
      <c r="C245" t="inlineStr">
        <is>
          <t>HAIR SALON</t>
        </is>
      </c>
      <c r="D245" t="inlineStr">
        <is>
          <t>Av. Diagonal, 402, Eixample, 08037 Barcelona, Spain</t>
        </is>
      </c>
      <c r="E245" t="inlineStr">
        <is>
          <t>https://eternalhairclinic.es/</t>
        </is>
      </c>
      <c r="F245">
        <f>+34 613 07 51 14</f>
        <v/>
      </c>
      <c r="H245" t="inlineStr">
        <is>
          <t>Pending</t>
        </is>
      </c>
    </row>
    <row r="246">
      <c r="A246" t="inlineStr">
        <is>
          <t>EveEstetica &amp; Pestañas Barcelona</t>
        </is>
      </c>
      <c r="C246" t="inlineStr">
        <is>
          <t>HAIR SALON</t>
        </is>
      </c>
      <c r="D246" t="inlineStr">
        <is>
          <t>Carrer de Rosell, 6, 08902 L'Hospitalet de Llobregat, Barcelona, Spain</t>
        </is>
      </c>
      <c r="F246">
        <f>+34 610 47 91 71</f>
        <v/>
      </c>
      <c r="H246" t="inlineStr">
        <is>
          <t>Pending</t>
        </is>
      </c>
    </row>
    <row r="247">
      <c r="A247" t="inlineStr">
        <is>
          <t>FUJIMORIS BARBER SHOP.</t>
        </is>
      </c>
      <c r="C247" t="inlineStr">
        <is>
          <t>HAIR SALON</t>
        </is>
      </c>
      <c r="D247" t="inlineStr">
        <is>
          <t>Av. de Catalunya, 103, 08905 Barcelona, Spain</t>
        </is>
      </c>
      <c r="F247">
        <f>+34 696 08 60 20</f>
        <v/>
      </c>
      <c r="H247" t="inlineStr">
        <is>
          <t>Pending</t>
        </is>
      </c>
    </row>
    <row r="248">
      <c r="A248" t="inlineStr">
        <is>
          <t>Fari Barber Shop</t>
        </is>
      </c>
      <c r="C248" t="inlineStr">
        <is>
          <t>HAIR SALON</t>
        </is>
      </c>
      <c r="D248" t="inlineStr">
        <is>
          <t>Carrer de la Rosa, 6, Local 2, Ciutat Vella, 08002 Barcelona, Spain</t>
        </is>
      </c>
      <c r="F248">
        <f>+34 692 81 00 66</f>
        <v/>
      </c>
      <c r="H248" t="inlineStr">
        <is>
          <t>Pending</t>
        </is>
      </c>
    </row>
    <row r="249">
      <c r="A249" t="inlineStr">
        <is>
          <t>Fernanda Burgos - Micropigmentación Natural</t>
        </is>
      </c>
      <c r="C249" t="inlineStr">
        <is>
          <t>HAIR SALON</t>
        </is>
      </c>
      <c r="D249" t="inlineStr">
        <is>
          <t>Carrer del Rosselló, 186, Eixample, 08008 Barcelona, Spain</t>
        </is>
      </c>
      <c r="E249" t="inlineStr">
        <is>
          <t>https://linktr.ee/fernandaburgos.com</t>
        </is>
      </c>
      <c r="F249">
        <f>+34 659 39 37 66</f>
        <v/>
      </c>
      <c r="H249" t="inlineStr">
        <is>
          <t>Pending</t>
        </is>
      </c>
    </row>
    <row r="250">
      <c r="A250" t="inlineStr">
        <is>
          <t>First Class Beauty Lounge</t>
        </is>
      </c>
      <c r="C250" t="inlineStr">
        <is>
          <t>HAIR SALON</t>
        </is>
      </c>
      <c r="D250" t="inlineStr">
        <is>
          <t>Carrer de Calàbria, 106, Eixample, 08015 Barcelona, Spain</t>
        </is>
      </c>
      <c r="F250">
        <f>+34 682 28 94 66</f>
        <v/>
      </c>
      <c r="H250" t="inlineStr">
        <is>
          <t>Pending</t>
        </is>
      </c>
    </row>
    <row r="251">
      <c r="A251" t="inlineStr">
        <is>
          <t>Flama Art i Cabell Perruqueria</t>
        </is>
      </c>
      <c r="C251" t="inlineStr">
        <is>
          <t>HAIR SALON</t>
        </is>
      </c>
      <c r="D251" t="inlineStr">
        <is>
          <t>, Carrer de Calàbria, 207, Eixample, 08029 Barcelona, Spain</t>
        </is>
      </c>
      <c r="E251" t="inlineStr">
        <is>
          <t>https://www.flamaperruqueria.com/</t>
        </is>
      </c>
      <c r="F251">
        <f>+34 934 19 20 85</f>
        <v/>
      </c>
      <c r="H251" t="inlineStr">
        <is>
          <t>Pending</t>
        </is>
      </c>
    </row>
    <row r="252">
      <c r="A252" t="inlineStr">
        <is>
          <t>Flow la Barber</t>
        </is>
      </c>
      <c r="C252" t="inlineStr">
        <is>
          <t>HAIR SALON</t>
        </is>
      </c>
      <c r="D252" t="inlineStr">
        <is>
          <t>Carrer d'Elkano, 9, Sants-Montjuïc, 08004 Barcelona, Spain</t>
        </is>
      </c>
      <c r="F252">
        <f>+34 643 98 14 20</f>
        <v/>
      </c>
      <c r="H252" t="inlineStr">
        <is>
          <t>Pending</t>
        </is>
      </c>
    </row>
    <row r="253">
      <c r="A253" t="inlineStr">
        <is>
          <t>Fórmula Capelli | Peluquería en L'Hospitalet</t>
        </is>
      </c>
      <c r="C253" t="inlineStr">
        <is>
          <t>HAIR SALON</t>
        </is>
      </c>
      <c r="D253" t="inlineStr">
        <is>
          <t>Carrer d'Enric Prat de la Riba, 156, 08901 L'Hospitalet de Llobregat, Barcelona, Spain</t>
        </is>
      </c>
      <c r="F253">
        <f>+34 930 11 86 08</f>
        <v/>
      </c>
      <c r="G253" t="inlineStr">
        <is>
          <t>formulacapelli@hotmail.com</t>
        </is>
      </c>
      <c r="H253" t="inlineStr">
        <is>
          <t>Pending</t>
        </is>
      </c>
    </row>
    <row r="254">
      <c r="A254" t="inlineStr">
        <is>
          <t>GN STUDIO Nail Art</t>
        </is>
      </c>
      <c r="C254" t="inlineStr">
        <is>
          <t>HAIR SALON</t>
        </is>
      </c>
      <c r="D254" t="inlineStr">
        <is>
          <t>Carrer de Viladomat, 103, Eixample, 08015 Barcelona, Spain</t>
        </is>
      </c>
      <c r="F254">
        <f>+34 680 57 61 51</f>
        <v/>
      </c>
      <c r="G254" t="inlineStr">
        <is>
          <t>info.getnailedstudio@gmail.com</t>
        </is>
      </c>
      <c r="H254" t="inlineStr">
        <is>
          <t>Pending</t>
        </is>
      </c>
    </row>
    <row r="255">
      <c r="A255" t="inlineStr">
        <is>
          <t>GOA Organics</t>
        </is>
      </c>
      <c r="C255" t="inlineStr">
        <is>
          <t>HAIR SALON</t>
        </is>
      </c>
      <c r="D255" t="inlineStr">
        <is>
          <t>Carrer de Roger de Llúria, 82, Eixample, 08009 Barcelona, Spain</t>
        </is>
      </c>
      <c r="F255">
        <f>+34 931 28 83 22</f>
        <v/>
      </c>
      <c r="G255" t="inlineStr">
        <is>
          <t>love@goaorganics.es</t>
        </is>
      </c>
      <c r="H255" t="inlineStr">
        <is>
          <t>Pending</t>
        </is>
      </c>
    </row>
    <row r="256">
      <c r="A256" t="inlineStr">
        <is>
          <t>Gat Prieto Perruqueria orgànica</t>
        </is>
      </c>
      <c r="C256" t="inlineStr">
        <is>
          <t>HAIR SALON</t>
        </is>
      </c>
      <c r="D256" t="inlineStr">
        <is>
          <t>Avinguda del Paral·lel, 150, Eixample, 08015 Barcelona, Spain</t>
        </is>
      </c>
      <c r="F256">
        <f>+34 933 25 28 48</f>
        <v/>
      </c>
      <c r="H256" t="inlineStr">
        <is>
          <t>Pending</t>
        </is>
      </c>
    </row>
    <row r="257">
      <c r="A257" t="inlineStr">
        <is>
          <t>Genové Dermatologics</t>
        </is>
      </c>
      <c r="C257" t="inlineStr">
        <is>
          <t>HAIR SALON</t>
        </is>
      </c>
      <c r="D257" t="inlineStr">
        <is>
          <t>Av. del Carrilet, 297, 08907 L'Hospitalet de Llobregat, Barcelona, Spain</t>
        </is>
      </c>
      <c r="E257" t="inlineStr">
        <is>
          <t>https://genove.com/</t>
        </is>
      </c>
      <c r="F257">
        <f>+34 932 60 68 00</f>
        <v/>
      </c>
      <c r="H257" t="inlineStr">
        <is>
          <t>Pending</t>
        </is>
      </c>
    </row>
    <row r="258">
      <c r="A258" t="inlineStr">
        <is>
          <t>Germans Barbershop</t>
        </is>
      </c>
      <c r="C258" t="inlineStr">
        <is>
          <t>HAIR SALON</t>
        </is>
      </c>
      <c r="D258" t="inlineStr">
        <is>
          <t>Carrer del Moianès, 12, Sants-Montjuïc, 08014 Barcelona, Spain</t>
        </is>
      </c>
      <c r="F258">
        <f>+34 614 11 38 06</f>
        <v/>
      </c>
      <c r="G258" t="inlineStr">
        <is>
          <t>help.es@booksy.com</t>
        </is>
      </c>
      <c r="H258" t="inlineStr">
        <is>
          <t>Pending</t>
        </is>
      </c>
    </row>
    <row r="259">
      <c r="A259" t="inlineStr">
        <is>
          <t>Gj Salons Perruqueries</t>
        </is>
      </c>
      <c r="C259" t="inlineStr">
        <is>
          <t>HAIR SALON</t>
        </is>
      </c>
      <c r="D259" t="inlineStr">
        <is>
          <t>Carrer d'Eduardo Conde, 50-52, Sarrià-Sant Gervasi, 08034 Barcelona, Spain</t>
        </is>
      </c>
      <c r="F259">
        <f>+34 640 06 93 11</f>
        <v/>
      </c>
      <c r="H259" t="inlineStr">
        <is>
          <t>Pending</t>
        </is>
      </c>
    </row>
    <row r="260">
      <c r="A260" t="inlineStr">
        <is>
          <t>Glamour</t>
        </is>
      </c>
      <c r="C260" t="inlineStr">
        <is>
          <t>HAIR SALON</t>
        </is>
      </c>
      <c r="D260" t="inlineStr">
        <is>
          <t>Carrer del Pedraforca, 59, 08905 L'Hospitalet de Llobregat, Barcelona, Spain</t>
        </is>
      </c>
      <c r="F260">
        <f>+34 933 33 42 59</f>
        <v/>
      </c>
      <c r="H260" t="inlineStr">
        <is>
          <t>Pending</t>
        </is>
      </c>
    </row>
    <row r="261">
      <c r="A261" t="inlineStr">
        <is>
          <t>Golden Hair – Keratina &amp; Alisado Barcelona | Sarrià Sant Gervasi</t>
        </is>
      </c>
      <c r="C261" t="inlineStr">
        <is>
          <t>HAIR SALON</t>
        </is>
      </c>
      <c r="D261" t="inlineStr">
        <is>
          <t>Carrer del Rector Ubach, 7, Sarrià-Sant Gervasi, 08021 Barcelona, Spain</t>
        </is>
      </c>
      <c r="E261" t="inlineStr">
        <is>
          <t>https://goldenhair.es/</t>
        </is>
      </c>
      <c r="F261">
        <f>+34 684 29 65 92</f>
        <v/>
      </c>
      <c r="H261" t="inlineStr">
        <is>
          <t>Pending</t>
        </is>
      </c>
    </row>
    <row r="262">
      <c r="A262" t="inlineStr">
        <is>
          <t>Grupostop Barcelona L'Eixample Depilación Láser y Medicina Estética</t>
        </is>
      </c>
      <c r="C262" t="inlineStr">
        <is>
          <t>HAIR SALON</t>
        </is>
      </c>
      <c r="D262" t="inlineStr">
        <is>
          <t>Carrer de València, 155, Eixample, 08011 Barcelona, Spain</t>
        </is>
      </c>
      <c r="E262" t="inlineStr">
        <is>
          <t>https://grupostop.com/centro/centro-de-depilacion-laser-y-medicina-estetica-en-barcelona-eixample/</t>
        </is>
      </c>
      <c r="F262">
        <f>+34 934 51 34 16</f>
        <v/>
      </c>
      <c r="G262" t="inlineStr">
        <is>
          <t>barcelona.valencia@grupostop.eu</t>
        </is>
      </c>
      <c r="H262" t="inlineStr">
        <is>
          <t>Pending</t>
        </is>
      </c>
    </row>
    <row r="263">
      <c r="A263" t="inlineStr">
        <is>
          <t>Gymis barbershop</t>
        </is>
      </c>
      <c r="C263" t="inlineStr">
        <is>
          <t>HAIR SALON</t>
        </is>
      </c>
      <c r="D263" t="inlineStr">
        <is>
          <t>Carrer de València, 145, Eixample, 08011 Barcelona, Spain</t>
        </is>
      </c>
      <c r="F263">
        <f>+34 931 94 82 18</f>
        <v/>
      </c>
      <c r="H263" t="inlineStr">
        <is>
          <t>Pending</t>
        </is>
      </c>
    </row>
    <row r="264">
      <c r="A264" t="inlineStr">
        <is>
          <t>HAIR EXTENSIONES ACADEMY - Premium</t>
        </is>
      </c>
      <c r="C264" t="inlineStr">
        <is>
          <t>HAIR SALON</t>
        </is>
      </c>
      <c r="D264" t="inlineStr">
        <is>
          <t>Carrer del Taquígraf Garriga, 56, Les Corts, 08029 Barcelona, Spain</t>
        </is>
      </c>
      <c r="F264">
        <f>+34 678 10 97 69</f>
        <v/>
      </c>
      <c r="H264" t="inlineStr">
        <is>
          <t>Pending</t>
        </is>
      </c>
    </row>
    <row r="265">
      <c r="A265" t="inlineStr">
        <is>
          <t>HAIRSTORE BARCELONA</t>
        </is>
      </c>
      <c r="C265" t="inlineStr">
        <is>
          <t>HAIR SALON</t>
        </is>
      </c>
      <c r="D265" t="inlineStr">
        <is>
          <t>Travessera de les Corts, 238 Bis, Les Corts, 08014 Barcelona, Spain</t>
        </is>
      </c>
      <c r="E265" t="inlineStr">
        <is>
          <t>http://www.barcelonapelucas.com/</t>
        </is>
      </c>
      <c r="F265">
        <f>+34 935 33 16 14</f>
        <v/>
      </c>
      <c r="H265" t="inlineStr">
        <is>
          <t>Pending</t>
        </is>
      </c>
    </row>
    <row r="266">
      <c r="A266" t="inlineStr">
        <is>
          <t>HAND OF GOD BARCELONA</t>
        </is>
      </c>
      <c r="C266" t="inlineStr">
        <is>
          <t>HAIR SALON</t>
        </is>
      </c>
      <c r="D266" t="inlineStr">
        <is>
          <t>Carrer de les Magdalenes, 8, Ciutat Vella, 08002 Barcelona, Spain</t>
        </is>
      </c>
      <c r="F266">
        <f>+34 611 83 12 32</f>
        <v/>
      </c>
      <c r="H266" t="inlineStr">
        <is>
          <t>Pending</t>
        </is>
      </c>
    </row>
    <row r="267">
      <c r="A267" t="inlineStr">
        <is>
          <t>HERE beauty salon</t>
        </is>
      </c>
      <c r="C267" t="inlineStr">
        <is>
          <t>HAIR SALON</t>
        </is>
      </c>
      <c r="D267" t="inlineStr">
        <is>
          <t>Avinguda de la Granvia de l’Hospitalet, 1-3, 08905 L'Hospitalet de Llobregat, Barcelona, Spain</t>
        </is>
      </c>
      <c r="F267">
        <f>+34 650 15 68 49</f>
        <v/>
      </c>
      <c r="H267" t="inlineStr">
        <is>
          <t>Pending</t>
        </is>
      </c>
    </row>
    <row r="268">
      <c r="A268" t="inlineStr">
        <is>
          <t>HL Salón</t>
        </is>
      </c>
      <c r="C268" t="inlineStr">
        <is>
          <t>HAIR SALON</t>
        </is>
      </c>
      <c r="D268" t="inlineStr">
        <is>
          <t>Carrer de Rocafort, 239, Eixample, 08029 Barcelona, Spain</t>
        </is>
      </c>
      <c r="F268">
        <f>+34 637 40 44 41</f>
        <v/>
      </c>
      <c r="H268" t="inlineStr">
        <is>
          <t>Pending</t>
        </is>
      </c>
    </row>
    <row r="269">
      <c r="A269" t="inlineStr">
        <is>
          <t>Hair Body &amp; Sol</t>
        </is>
      </c>
      <c r="C269" t="inlineStr">
        <is>
          <t>HAIR SALON</t>
        </is>
      </c>
      <c r="D269" t="inlineStr">
        <is>
          <t>Av. del Carrilet, 80, local IV, 08902 L'Hospitalet de Llobregat, Barcelona, Spain</t>
        </is>
      </c>
      <c r="F269">
        <f>+34 932 96 55 05</f>
        <v/>
      </c>
      <c r="H269" t="inlineStr">
        <is>
          <t>Pending</t>
        </is>
      </c>
    </row>
    <row r="270">
      <c r="A270" t="inlineStr">
        <is>
          <t>Hair Clinic Solutions</t>
        </is>
      </c>
      <c r="C270" t="inlineStr">
        <is>
          <t>HAIR SALON</t>
        </is>
      </c>
      <c r="D270" t="inlineStr">
        <is>
          <t>Passeig de Manuel Girona, 14, Les Corts, 08034 Barcelona, Spain</t>
        </is>
      </c>
      <c r="E270" t="inlineStr">
        <is>
          <t>https://www.hairclinicsolutions.es/</t>
        </is>
      </c>
      <c r="F270">
        <f>+34 609 56 97 17</f>
        <v/>
      </c>
      <c r="H270" t="inlineStr">
        <is>
          <t>Pending</t>
        </is>
      </c>
    </row>
    <row r="271">
      <c r="A271" t="inlineStr">
        <is>
          <t>Hair Cut Day Aragó Salón Peluquería Barcelona</t>
        </is>
      </c>
      <c r="C271" t="inlineStr">
        <is>
          <t>HAIR SALON</t>
        </is>
      </c>
      <c r="D271" t="inlineStr">
        <is>
          <t>Carrer d'Aragó, 287, Eixample, 08009 Barcelona, Spain</t>
        </is>
      </c>
      <c r="F271">
        <f>+34 938 53 33 71</f>
        <v/>
      </c>
      <c r="H271" t="inlineStr">
        <is>
          <t>Pending</t>
        </is>
      </c>
    </row>
    <row r="272">
      <c r="A272" t="inlineStr">
        <is>
          <t>Hair Cut Day Letamendi Saló Perruqueria Barcelona</t>
        </is>
      </c>
      <c r="C272" t="inlineStr">
        <is>
          <t>HAIR SALON</t>
        </is>
      </c>
      <c r="D272" t="inlineStr">
        <is>
          <t>Pl. del Dr. Letamendi, 29, Eixample, 08007 Barcelona, Spain</t>
        </is>
      </c>
      <c r="F272">
        <f>+34 931 46 35 10</f>
        <v/>
      </c>
      <c r="H272" t="inlineStr">
        <is>
          <t>Pending</t>
        </is>
      </c>
    </row>
    <row r="273">
      <c r="A273" t="inlineStr">
        <is>
          <t>Hair Cut Day Travessera Salón Peluquería Barcelona</t>
        </is>
      </c>
      <c r="C273" t="inlineStr">
        <is>
          <t>HAIR SALON</t>
        </is>
      </c>
      <c r="D273" t="inlineStr">
        <is>
          <t>Travessera de Gràcia, 69, Sarrià-Sant Gervasi, 08006 Barcelona, Spain</t>
        </is>
      </c>
      <c r="F273">
        <f>+34 932 49 76 14</f>
        <v/>
      </c>
      <c r="H273" t="inlineStr">
        <is>
          <t>Pending</t>
        </is>
      </c>
    </row>
    <row r="274">
      <c r="A274" t="inlineStr">
        <is>
          <t>Hair Forever Barcelona</t>
        </is>
      </c>
      <c r="C274" t="inlineStr">
        <is>
          <t>HAIR SALON</t>
        </is>
      </c>
      <c r="D274" t="inlineStr">
        <is>
          <t>Av. Diagonal, 628, 3-A, Sarrià-Sant Gervasi, 08017 Barcelona, Spain</t>
        </is>
      </c>
      <c r="E274" t="inlineStr">
        <is>
          <t>https://hairforever.es/</t>
        </is>
      </c>
      <c r="F274">
        <f>+34 656 85 37 51</f>
        <v/>
      </c>
      <c r="H274" t="inlineStr">
        <is>
          <t>Pending</t>
        </is>
      </c>
    </row>
    <row r="275">
      <c r="A275" t="inlineStr">
        <is>
          <t>Hair Inspira</t>
        </is>
      </c>
      <c r="C275" t="inlineStr">
        <is>
          <t>HAIR SALON</t>
        </is>
      </c>
      <c r="D275" t="inlineStr">
        <is>
          <t>Av. de Sarrià, 60, Les Corts, 08029 Barcelona, Spain</t>
        </is>
      </c>
      <c r="E275" t="inlineStr">
        <is>
          <t>https://hairinspira.com/estudio-expertos-protesis-capilares-barcelona/</t>
        </is>
      </c>
      <c r="F275">
        <f>+34 932 69 62 85</f>
        <v/>
      </c>
      <c r="G275" t="inlineStr">
        <is>
          <t>hello@hairinspira.com</t>
        </is>
      </c>
      <c r="H275" t="inlineStr">
        <is>
          <t>Pending</t>
        </is>
      </c>
    </row>
    <row r="276">
      <c r="A276" t="inlineStr">
        <is>
          <t>Hair Palace Art &amp; Styling</t>
        </is>
      </c>
      <c r="C276" t="inlineStr">
        <is>
          <t>HAIR SALON</t>
        </is>
      </c>
      <c r="D276" t="inlineStr">
        <is>
          <t>Carrer de Mallorca, 198, Eixample, 08036 Barcelona, Spain</t>
        </is>
      </c>
      <c r="F276">
        <f>+34 931 05 02 77</f>
        <v/>
      </c>
      <c r="H276" t="inlineStr">
        <is>
          <t>Pending</t>
        </is>
      </c>
    </row>
    <row r="277">
      <c r="A277" t="inlineStr">
        <is>
          <t>Hair Spa by Miriam Quevedo</t>
        </is>
      </c>
      <c r="C277" t="inlineStr">
        <is>
          <t>HAIR SALON</t>
        </is>
      </c>
      <c r="D277" t="inlineStr">
        <is>
          <t>Pg. de Gràcia, 40, Eixample, 08007 Barcelona, Spain</t>
        </is>
      </c>
      <c r="F277">
        <f>+34 931 51 87 51</f>
        <v/>
      </c>
      <c r="G277" t="inlineStr">
        <is>
          <t>hello@miriamquevedo.com</t>
        </is>
      </c>
      <c r="H277" t="inlineStr">
        <is>
          <t>Pending</t>
        </is>
      </c>
    </row>
    <row r="278">
      <c r="A278" t="inlineStr">
        <is>
          <t>Hair Studio 17</t>
        </is>
      </c>
      <c r="C278" t="inlineStr">
        <is>
          <t>HAIR SALON</t>
        </is>
      </c>
      <c r="D278" t="inlineStr">
        <is>
          <t>Av. de Sant Ramon Nonat, 17, bajo, Les Corts, 08028 Barcelona, Spain</t>
        </is>
      </c>
      <c r="F278">
        <f>+34 934 40 84 65</f>
        <v/>
      </c>
      <c r="H278" t="inlineStr">
        <is>
          <t>Pending</t>
        </is>
      </c>
    </row>
    <row r="279">
      <c r="A279" t="inlineStr">
        <is>
          <t>Hair Studio Center</t>
        </is>
      </c>
      <c r="C279" t="inlineStr">
        <is>
          <t>HAIR SALON</t>
        </is>
      </c>
      <c r="D279" t="inlineStr">
        <is>
          <t>Carrer de Pau Claris, 95, Eixample, 08009 Barcelona, Spain</t>
        </is>
      </c>
      <c r="E279" t="inlineStr">
        <is>
          <t>http://beautystudiocenter.com/</t>
        </is>
      </c>
      <c r="F279">
        <f>+34 934 12 71 28</f>
        <v/>
      </c>
      <c r="G279" t="inlineStr">
        <is>
          <t>info@beautystudiocenter.com</t>
        </is>
      </c>
      <c r="H279" t="inlineStr">
        <is>
          <t>Pending</t>
        </is>
      </c>
    </row>
    <row r="280">
      <c r="A280" t="inlineStr">
        <is>
          <t>Hair Studio by Miguel Arocha</t>
        </is>
      </c>
      <c r="C280" t="inlineStr">
        <is>
          <t>HAIR SALON</t>
        </is>
      </c>
      <c r="D280" t="inlineStr">
        <is>
          <t>Av. de Mistral, 66, Eixample, 08015 Barcelona, Spain</t>
        </is>
      </c>
      <c r="F280">
        <f>+34 695 31 15 20</f>
        <v/>
      </c>
      <c r="G280" t="inlineStr">
        <is>
          <t>help.es@booksy.com</t>
        </is>
      </c>
      <c r="H280" t="inlineStr">
        <is>
          <t>Pending</t>
        </is>
      </c>
    </row>
    <row r="281">
      <c r="A281" t="inlineStr">
        <is>
          <t>Hairdresser Angirû Temple</t>
        </is>
      </c>
      <c r="C281" t="inlineStr">
        <is>
          <t>HAIR SALON</t>
        </is>
      </c>
      <c r="D281" t="inlineStr">
        <is>
          <t>Carrer de València, 215, bajos, Eixample, 08007 Barcelona, Spain</t>
        </is>
      </c>
      <c r="F281">
        <f>+34 660 78 27 94</f>
        <v/>
      </c>
      <c r="H281" t="inlineStr">
        <is>
          <t>Pending</t>
        </is>
      </c>
    </row>
    <row r="282">
      <c r="A282" t="inlineStr">
        <is>
          <t>Hebras Look Beauty Center</t>
        </is>
      </c>
      <c r="C282" t="inlineStr">
        <is>
          <t>HAIR SALON</t>
        </is>
      </c>
      <c r="D282" t="inlineStr">
        <is>
          <t>Carrer de Roger de Flor, 284, Gràcia, 08025 Barcelona, Spain</t>
        </is>
      </c>
      <c r="F282">
        <f>+34 614 59 88 75</f>
        <v/>
      </c>
      <c r="H282" t="inlineStr">
        <is>
          <t>Pending</t>
        </is>
      </c>
    </row>
    <row r="283">
      <c r="A283" t="inlineStr">
        <is>
          <t>Hola Perruqueria Unisex</t>
        </is>
      </c>
      <c r="C283" t="inlineStr">
        <is>
          <t>HAIR SALON</t>
        </is>
      </c>
      <c r="D283" t="inlineStr">
        <is>
          <t>in, Barcelona, Sants-Montjuïc, 邮政编码: 08029</t>
        </is>
      </c>
      <c r="F283">
        <f>+34 691 83 04 43</f>
        <v/>
      </c>
      <c r="H283" t="inlineStr">
        <is>
          <t>Pending</t>
        </is>
      </c>
    </row>
    <row r="284">
      <c r="A284" t="inlineStr">
        <is>
          <t>Hti Clinic</t>
        </is>
      </c>
      <c r="C284" t="inlineStr">
        <is>
          <t>HAIR SALON</t>
        </is>
      </c>
      <c r="D284" t="inlineStr">
        <is>
          <t>Carrer de la Riera de Sant Miquel, 40, Gràcia, 08006 Barcelona, Spain</t>
        </is>
      </c>
      <c r="E284" t="inlineStr">
        <is>
          <t>http://www.hticlinic.com/</t>
        </is>
      </c>
      <c r="F284">
        <f>+34 932 50 46 40</f>
        <v/>
      </c>
      <c r="H284" t="inlineStr">
        <is>
          <t>Pending</t>
        </is>
      </c>
    </row>
    <row r="285">
      <c r="A285" t="inlineStr">
        <is>
          <t>ICARO SALON</t>
        </is>
      </c>
      <c r="C285" t="inlineStr">
        <is>
          <t>HAIR SALON</t>
        </is>
      </c>
      <c r="D285" t="inlineStr">
        <is>
          <t>Rambla de Catalunya, 119 Principal, Eixample, 08008 Barcelona, Spain</t>
        </is>
      </c>
      <c r="F285">
        <f>+34 658 90 41 59</f>
        <v/>
      </c>
      <c r="H285" t="inlineStr">
        <is>
          <t>Pending</t>
        </is>
      </c>
    </row>
    <row r="286">
      <c r="A286" t="inlineStr">
        <is>
          <t>ICONIC BARBER STUDIO</t>
        </is>
      </c>
      <c r="C286" t="inlineStr">
        <is>
          <t>HAIR SALON</t>
        </is>
      </c>
      <c r="D286" t="inlineStr">
        <is>
          <t>Carrer de Sepúlveda, 121, Eixample, 08015 Barcelona, Spain</t>
        </is>
      </c>
      <c r="F286">
        <f>+34 930 25 35 99</f>
        <v/>
      </c>
      <c r="H286" t="inlineStr">
        <is>
          <t>Pending</t>
        </is>
      </c>
    </row>
    <row r="287">
      <c r="A287" t="inlineStr">
        <is>
          <t>IDI-Consulta Privada Dermatologia Juli Bassas Vila</t>
        </is>
      </c>
      <c r="C287" t="inlineStr">
        <is>
          <t>HAIR SALON</t>
        </is>
      </c>
      <c r="D287" t="inlineStr">
        <is>
          <t>Carrer de Sant Elies, 10, Sarrià-Sant Gervasi, 08006 Barcelona, Spain</t>
        </is>
      </c>
      <c r="F287">
        <f>+34 934 18 79 79</f>
        <v/>
      </c>
      <c r="H287" t="inlineStr">
        <is>
          <t>Pending</t>
        </is>
      </c>
    </row>
    <row r="288">
      <c r="A288" t="inlineStr">
        <is>
          <t>IM CLINIC Barcelona | Centro de Estética Avanzada</t>
        </is>
      </c>
      <c r="C288" t="inlineStr">
        <is>
          <t>HAIR SALON</t>
        </is>
      </c>
      <c r="D288" t="inlineStr">
        <is>
          <t>Pg. de la Bonanova, 112, Sarrià-Sant Gervasi, 08017 Barcelona, Spain</t>
        </is>
      </c>
      <c r="E288" t="inlineStr">
        <is>
          <t>http://www.imclinic.com/</t>
        </is>
      </c>
      <c r="F288">
        <f>+34 933 01 30 40</f>
        <v/>
      </c>
      <c r="G288" t="inlineStr">
        <is>
          <t>imclinic@imclinic.com</t>
        </is>
      </c>
      <c r="H288" t="inlineStr">
        <is>
          <t>Pending</t>
        </is>
      </c>
    </row>
    <row r="289">
      <c r="A289" t="inlineStr">
        <is>
          <t>IMAGE HAIR SALON AND BARBER SHOP</t>
        </is>
      </c>
      <c r="C289" t="inlineStr">
        <is>
          <t>HAIR SALON</t>
        </is>
      </c>
      <c r="D289" t="inlineStr">
        <is>
          <t>Carrer del Carme, 97, Ciutat Vella, 08001 Barcelona, Spain</t>
        </is>
      </c>
      <c r="F289">
        <f>+34 634 16 97 31</f>
        <v/>
      </c>
      <c r="H289" t="inlineStr">
        <is>
          <t>Pending</t>
        </is>
      </c>
    </row>
    <row r="290">
      <c r="A290" t="inlineStr">
        <is>
          <t>INST Berlin Raval</t>
        </is>
      </c>
      <c r="C290" t="inlineStr">
        <is>
          <t>HAIR SALON</t>
        </is>
      </c>
      <c r="D290" t="inlineStr">
        <is>
          <t>Carrer de Sant Rafael, 27, Ciutat Vella, 08001 Barcelona, Spain</t>
        </is>
      </c>
      <c r="F290">
        <f>+34 930 23 90 93</f>
        <v/>
      </c>
      <c r="H290" t="inlineStr">
        <is>
          <t>Pending</t>
        </is>
      </c>
    </row>
    <row r="291">
      <c r="A291" t="inlineStr">
        <is>
          <t>INSTITUTO TRIUS</t>
        </is>
      </c>
      <c r="C291" t="inlineStr">
        <is>
          <t>HAIR SALON</t>
        </is>
      </c>
      <c r="D291" t="inlineStr">
        <is>
          <t>Carrer de Balmes, 310, 1º – 2ª, Sarrià-Sant Gervasi, 08006 Barcelona, Spain</t>
        </is>
      </c>
      <c r="E291" t="inlineStr">
        <is>
          <t>http://www.institutotrius.com/</t>
        </is>
      </c>
      <c r="F291">
        <f>+34 934 14 25 55</f>
        <v/>
      </c>
      <c r="H291" t="inlineStr">
        <is>
          <t>Pending</t>
        </is>
      </c>
    </row>
    <row r="292">
      <c r="A292" t="inlineStr">
        <is>
          <t>INTEGRAL HAIR, expertos en Cabello de Integración.</t>
        </is>
      </c>
      <c r="C292" t="inlineStr">
        <is>
          <t>HAIR SALON</t>
        </is>
      </c>
      <c r="D292" t="inlineStr">
        <is>
          <t>Carrer de Tarragona, 84-90, 2-6, Eixample, 08015 Barcelona, Spain</t>
        </is>
      </c>
      <c r="E292" t="inlineStr">
        <is>
          <t>http://www.integralhair.com/</t>
        </is>
      </c>
      <c r="F292">
        <f>+34 932 28 21 73</f>
        <v/>
      </c>
      <c r="H292" t="inlineStr">
        <is>
          <t>Pending</t>
        </is>
      </c>
    </row>
    <row r="293">
      <c r="A293" t="inlineStr">
        <is>
          <t>ISMAILI CLINIC</t>
        </is>
      </c>
      <c r="C293" t="inlineStr">
        <is>
          <t>HAIR SALON</t>
        </is>
      </c>
      <c r="D293" t="inlineStr">
        <is>
          <t>Pg. de Gràcia, 78, Planta 4, Puerta 1, Eixample, 08008 Barcelona, Spain</t>
        </is>
      </c>
      <c r="E293" t="inlineStr">
        <is>
          <t>http://ismailiclinic.com/</t>
        </is>
      </c>
      <c r="F293">
        <f>+34 660 28 92 34</f>
        <v/>
      </c>
      <c r="H293" t="inlineStr">
        <is>
          <t>Pending</t>
        </is>
      </c>
    </row>
    <row r="294">
      <c r="A294" t="inlineStr">
        <is>
          <t>Idola Barcelona</t>
        </is>
      </c>
      <c r="C294" t="inlineStr">
        <is>
          <t>HAIR SALON</t>
        </is>
      </c>
      <c r="D294" t="inlineStr">
        <is>
          <t>Carrer de Balmes, 149, Eixample, 08008 Barcelona, Spain</t>
        </is>
      </c>
      <c r="F294">
        <f>+34 603 12 21 99</f>
        <v/>
      </c>
      <c r="H294" t="inlineStr">
        <is>
          <t>Pending</t>
        </is>
      </c>
    </row>
    <row r="295">
      <c r="A295" t="inlineStr">
        <is>
          <t>Imagen Barbershop</t>
        </is>
      </c>
      <c r="C295" t="inlineStr">
        <is>
          <t>HAIR SALON</t>
        </is>
      </c>
      <c r="D295" t="inlineStr">
        <is>
          <t>Carrer de Colomines, 4, Ciutat Vella, 08003 Barcelona, Spain</t>
        </is>
      </c>
      <c r="F295">
        <f>+34 677 75 09 93</f>
        <v/>
      </c>
      <c r="H295" t="inlineStr">
        <is>
          <t>Pending</t>
        </is>
      </c>
    </row>
    <row r="296">
      <c r="A296" t="inlineStr">
        <is>
          <t>Imran peluqueria unisex</t>
        </is>
      </c>
      <c r="C296" t="inlineStr">
        <is>
          <t>HAIR SALON</t>
        </is>
      </c>
      <c r="D296" t="inlineStr">
        <is>
          <t>Carrer de la Mare de Déu de Port, 385, Sants-Montjuïc, 08038 Barcelona, Spain</t>
        </is>
      </c>
      <c r="F296">
        <f>+34 632 87 70 22</f>
        <v/>
      </c>
      <c r="H296" t="inlineStr">
        <is>
          <t>Pending</t>
        </is>
      </c>
    </row>
    <row r="297">
      <c r="A297" t="inlineStr">
        <is>
          <t>Institut Costa</t>
        </is>
      </c>
      <c r="C297" t="inlineStr">
        <is>
          <t>HAIR SALON</t>
        </is>
      </c>
      <c r="D297" t="inlineStr">
        <is>
          <t>Carrer d'Aribau, 166, entlo F, Eixample, 08036 Barcelona, Spain</t>
        </is>
      </c>
      <c r="E297" t="inlineStr">
        <is>
          <t>http://www.inmacosta.com/</t>
        </is>
      </c>
      <c r="F297">
        <f>+34 932 18 36 81</f>
        <v/>
      </c>
      <c r="G297" t="inlineStr">
        <is>
          <t>info@inmacosta.com</t>
        </is>
      </c>
      <c r="H297" t="inlineStr">
        <is>
          <t>Pending</t>
        </is>
      </c>
    </row>
    <row r="298">
      <c r="A298" t="inlineStr">
        <is>
          <t>Institut Rigo Quera Salvà</t>
        </is>
      </c>
      <c r="C298" t="inlineStr">
        <is>
          <t>HAIR SALON</t>
        </is>
      </c>
      <c r="D298" t="inlineStr">
        <is>
          <t>Travessera de Gràcia, 18-20, 3º 1ª, Sarrià-Sant Gervasi, 08021 Barcelona, Spain</t>
        </is>
      </c>
      <c r="E298" t="inlineStr">
        <is>
          <t>http://rigoquera.com/</t>
        </is>
      </c>
      <c r="F298">
        <f>+34 932 09 13 30</f>
        <v/>
      </c>
      <c r="H298" t="inlineStr">
        <is>
          <t>Pending</t>
        </is>
      </c>
    </row>
    <row r="299">
      <c r="A299" t="inlineStr">
        <is>
          <t>Instituto Capilnova</t>
        </is>
      </c>
      <c r="C299" t="inlineStr">
        <is>
          <t>HAIR SALON</t>
        </is>
      </c>
      <c r="D299" t="inlineStr">
        <is>
          <t>Carrer de Roman Macaya, 22-24, Planta -1, Sarrià-Sant Gervasi, 08022 Barcelona, Spain</t>
        </is>
      </c>
      <c r="E299" t="inlineStr">
        <is>
          <t>http://www.institutocapilnova.es/</t>
        </is>
      </c>
      <c r="F299">
        <f>+34 646 09 92 52</f>
        <v/>
      </c>
      <c r="H299" t="inlineStr">
        <is>
          <t>Pending</t>
        </is>
      </c>
    </row>
    <row r="300">
      <c r="A300" t="inlineStr">
        <is>
          <t>Integral - Nature for Hair</t>
        </is>
      </c>
      <c r="C300" t="inlineStr">
        <is>
          <t>HAIR SALON</t>
        </is>
      </c>
      <c r="D300" t="inlineStr">
        <is>
          <t>Carrer del Comte Borrell, 205, Local 1, Eixample, 08029 Barcelona, Spain</t>
        </is>
      </c>
      <c r="E300" t="inlineStr">
        <is>
          <t>http://www.integral.barcelona/</t>
        </is>
      </c>
      <c r="F300">
        <f>+34 930 17 79 38</f>
        <v/>
      </c>
      <c r="G300" t="inlineStr">
        <is>
          <t>info@integral.barcelona</t>
        </is>
      </c>
      <c r="H300" t="inlineStr">
        <is>
          <t>Pending</t>
        </is>
      </c>
    </row>
    <row r="301">
      <c r="A301" t="inlineStr">
        <is>
          <t>Isaura Vila HairStyle Peluquería y Estética</t>
        </is>
      </c>
      <c r="C301" t="inlineStr">
        <is>
          <t>HAIR SALON</t>
        </is>
      </c>
      <c r="D301" t="inlineStr">
        <is>
          <t>Carrer de Natzaret, 40, 08902 L'Hospitalet de Llobregat, Barcelona, Spain</t>
        </is>
      </c>
      <c r="F301">
        <f>+34 672 41 67 17</f>
        <v/>
      </c>
      <c r="H301" t="inlineStr">
        <is>
          <t>Pending</t>
        </is>
      </c>
    </row>
    <row r="302">
      <c r="A302" t="inlineStr">
        <is>
          <t>JAZZ PELU Peluquería especialista en Mechas, Color, Corte y Venta de Productos en Barcelona</t>
        </is>
      </c>
      <c r="C302" t="inlineStr">
        <is>
          <t>HAIR SALON</t>
        </is>
      </c>
      <c r="D302" t="inlineStr">
        <is>
          <t>Carrer de Còrsega, 217, Eixample, 08036 Barcelona, Spain</t>
        </is>
      </c>
      <c r="F302">
        <f>+34 935 27 44 88</f>
        <v/>
      </c>
      <c r="H302" t="inlineStr">
        <is>
          <t>Pending</t>
        </is>
      </c>
    </row>
    <row r="303">
      <c r="A303" t="inlineStr">
        <is>
          <t>JJ/JosueJara</t>
        </is>
      </c>
      <c r="C303" t="inlineStr">
        <is>
          <t>HAIR SALON</t>
        </is>
      </c>
      <c r="D303" t="inlineStr">
        <is>
          <t>Carrer de Sants, 382, Bajo, Les Corts, 08028 Barcelona, Spain</t>
        </is>
      </c>
      <c r="F303">
        <f>+34 601 42 13 44</f>
        <v/>
      </c>
      <c r="G303" t="inlineStr">
        <is>
          <t>jjcohairsalon@gmail.com</t>
        </is>
      </c>
      <c r="H303" t="inlineStr">
        <is>
          <t>Pending</t>
        </is>
      </c>
    </row>
    <row r="304">
      <c r="A304" t="inlineStr">
        <is>
          <t>JOSÉ NÓVOA ESTILISTAS</t>
        </is>
      </c>
      <c r="C304" t="inlineStr">
        <is>
          <t>HAIR SALON</t>
        </is>
      </c>
      <c r="D304" t="inlineStr">
        <is>
          <t>Avinguda d'Álvarez de Castro, 44, Local 1, 08901 L'Hospitalet de Llobregat, Barcelona, Spain</t>
        </is>
      </c>
      <c r="E304" t="inlineStr">
        <is>
          <t>http://www.josenovoa.com/</t>
        </is>
      </c>
      <c r="F304">
        <f>+34 640 24 36 17</f>
        <v/>
      </c>
      <c r="G304" t="inlineStr">
        <is>
          <t>jsnestilistas@gmail.com</t>
        </is>
      </c>
      <c r="H304" t="inlineStr">
        <is>
          <t>Pending</t>
        </is>
      </c>
    </row>
    <row r="305">
      <c r="A305" t="inlineStr">
        <is>
          <t>JUNIOR RELLER - Experto en alisados de keratina, corte de cabello y color de cabello en Barcelona</t>
        </is>
      </c>
      <c r="C305" t="inlineStr">
        <is>
          <t>HAIR SALON</t>
        </is>
      </c>
      <c r="D305" t="inlineStr">
        <is>
          <t>Carrer de Galileu, 156, Sants-Montjuïc, 08028 Barcelona, Spain</t>
        </is>
      </c>
      <c r="F305">
        <f>+34 655 40 63 15</f>
        <v/>
      </c>
      <c r="H305" t="inlineStr">
        <is>
          <t>Pending</t>
        </is>
      </c>
    </row>
    <row r="306">
      <c r="A306" t="inlineStr">
        <is>
          <t>Jack Barber Barcelona💈</t>
        </is>
      </c>
      <c r="C306" t="inlineStr">
        <is>
          <t>HAIR SALON</t>
        </is>
      </c>
      <c r="D306" t="inlineStr">
        <is>
          <t>Carrer de Ferlandina, 49, Ciutat Vella, 08001 Barcelona, Spain</t>
        </is>
      </c>
      <c r="F306">
        <f>+34 722 69 89 92</f>
        <v/>
      </c>
      <c r="G306" t="inlineStr">
        <is>
          <t>jackbarberbcn@gmail.com</t>
        </is>
      </c>
      <c r="H306" t="inlineStr">
        <is>
          <t>Pending</t>
        </is>
      </c>
    </row>
    <row r="307">
      <c r="A307" t="inlineStr">
        <is>
          <t>Jack Barber born</t>
        </is>
      </c>
      <c r="C307" t="inlineStr">
        <is>
          <t>HAIR SALON</t>
        </is>
      </c>
      <c r="D307" t="inlineStr">
        <is>
          <t>Carrer dels Corders, 7, Ciutat Vella, 08003 Barcelona, Spain</t>
        </is>
      </c>
      <c r="F307">
        <f>+34 936 01 65 54</f>
        <v/>
      </c>
      <c r="H307" t="inlineStr">
        <is>
          <t>Pending</t>
        </is>
      </c>
    </row>
    <row r="308">
      <c r="A308" t="inlineStr">
        <is>
          <t>Jaque mate barber studio</t>
        </is>
      </c>
      <c r="C308" t="inlineStr">
        <is>
          <t>HAIR SALON</t>
        </is>
      </c>
      <c r="D308" t="inlineStr">
        <is>
          <t>Carrer de l'Arc de Sant Ramon del Call, 3, Ciutat Vella, 08002 Barcelona, Spain</t>
        </is>
      </c>
      <c r="F308">
        <f>+34 613 23 45 63</f>
        <v/>
      </c>
      <c r="H308" t="inlineStr">
        <is>
          <t>Pending</t>
        </is>
      </c>
    </row>
    <row r="309">
      <c r="A309" t="inlineStr">
        <is>
          <t>Javier Moreno</t>
        </is>
      </c>
      <c r="C309" t="inlineStr">
        <is>
          <t>HAIR SALON</t>
        </is>
      </c>
      <c r="D309" t="inlineStr">
        <is>
          <t>Carrer d'Aribau, 29, Eixample, 08011 Barcelona, Spain</t>
        </is>
      </c>
      <c r="F309">
        <f>+34 931 45 04 77</f>
        <v/>
      </c>
      <c r="H309" t="inlineStr">
        <is>
          <t>Pending</t>
        </is>
      </c>
    </row>
    <row r="310">
      <c r="A310" t="inlineStr">
        <is>
          <t>Jeinick's Salon</t>
        </is>
      </c>
      <c r="C310" t="inlineStr">
        <is>
          <t>HAIR SALON</t>
        </is>
      </c>
      <c r="D310" t="inlineStr">
        <is>
          <t>Avinguda de Severo Ochoa, 5, 08906 L'Hospitalet de Llobregat, Barcelona, Spain</t>
        </is>
      </c>
      <c r="F310">
        <f>+34 930 31 66 92</f>
        <v/>
      </c>
      <c r="H310" t="inlineStr">
        <is>
          <t>Pending</t>
        </is>
      </c>
    </row>
    <row r="311">
      <c r="A311" t="inlineStr">
        <is>
          <t>Jessica López - Salón de belleza</t>
        </is>
      </c>
      <c r="C311" t="inlineStr">
        <is>
          <t>HAIR SALON</t>
        </is>
      </c>
      <c r="D311" t="inlineStr">
        <is>
          <t>Plaça de Sant Cristòfol, local 3, Sants-Montjuïc, 08038 Barcelona, Spain</t>
        </is>
      </c>
      <c r="F311">
        <f>+34 934 22 54 15</f>
        <v/>
      </c>
      <c r="H311" t="inlineStr">
        <is>
          <t>Pending</t>
        </is>
      </c>
    </row>
    <row r="312">
      <c r="A312" t="inlineStr">
        <is>
          <t>Jk Hair / Nail Stylist</t>
        </is>
      </c>
      <c r="C312" t="inlineStr">
        <is>
          <t>HAIR SALON</t>
        </is>
      </c>
      <c r="D312" t="inlineStr">
        <is>
          <t>Carrer de la Diputació, 87, Local 2, Eixample, 08015 Barcelona, Spain</t>
        </is>
      </c>
      <c r="E312" t="inlineStr">
        <is>
          <t>https://heylink.me/jk_hairstylist</t>
        </is>
      </c>
      <c r="F312">
        <f>+34 690 03 35 07</f>
        <v/>
      </c>
      <c r="H312" t="inlineStr">
        <is>
          <t>Pending</t>
        </is>
      </c>
    </row>
    <row r="313">
      <c r="A313" t="inlineStr">
        <is>
          <t>Joan Barber Shop</t>
        </is>
      </c>
      <c r="C313" t="inlineStr">
        <is>
          <t>HAIR SALON</t>
        </is>
      </c>
      <c r="D313" t="inlineStr">
        <is>
          <t>Passatge de Serra i Arola, 17, Sants-Montjuïc, 08028 Barcelona, Spain</t>
        </is>
      </c>
      <c r="F313">
        <f>+34 636 15 04 49</f>
        <v/>
      </c>
      <c r="H313" t="inlineStr">
        <is>
          <t>Pending</t>
        </is>
      </c>
    </row>
    <row r="314">
      <c r="A314" t="inlineStr">
        <is>
          <t>Judith Diestre ESTILISTES</t>
        </is>
      </c>
      <c r="C314" t="inlineStr">
        <is>
          <t>HAIR SALON</t>
        </is>
      </c>
      <c r="D314" t="inlineStr">
        <is>
          <t>Carrer de Viladomat, 133, Eixample, 08015 Barcelona, Spain</t>
        </is>
      </c>
      <c r="F314">
        <f>+34 934 52 39 40</f>
        <v/>
      </c>
      <c r="H314" t="inlineStr">
        <is>
          <t>Pending</t>
        </is>
      </c>
    </row>
    <row r="315">
      <c r="A315" t="inlineStr">
        <is>
          <t>Jullsmakeup Studio</t>
        </is>
      </c>
      <c r="C315" t="inlineStr">
        <is>
          <t>HAIR SALON</t>
        </is>
      </c>
      <c r="D315" t="inlineStr">
        <is>
          <t>Carrer de Villarroel, 50, Eixample, 08011 Barcelona, Spain</t>
        </is>
      </c>
      <c r="E315" t="inlineStr">
        <is>
          <t>http://www.jullsmakeup.com/</t>
        </is>
      </c>
      <c r="F315">
        <f>+34 640 97 81 73</f>
        <v/>
      </c>
      <c r="G315" t="inlineStr">
        <is>
          <t>jullsmakeup15@gmail.com%20</t>
        </is>
      </c>
      <c r="H315" t="inlineStr">
        <is>
          <t>Pending</t>
        </is>
      </c>
    </row>
    <row r="316">
      <c r="A316" t="inlineStr">
        <is>
          <t>K5 Hair &amp; Beauty Studio</t>
        </is>
      </c>
      <c r="C316" t="inlineStr">
        <is>
          <t>HAIR SALON</t>
        </is>
      </c>
      <c r="D316" t="inlineStr">
        <is>
          <t>Carrer de Sant Medir, 16, Sants-Montjuïc, 08028 Barcelona, Spain</t>
        </is>
      </c>
      <c r="F316">
        <f>+34 933 39 63 30</f>
        <v/>
      </c>
      <c r="H316" t="inlineStr">
        <is>
          <t>Pending</t>
        </is>
      </c>
    </row>
    <row r="317">
      <c r="A317" t="inlineStr">
        <is>
          <t>KAMIUTA</t>
        </is>
      </c>
      <c r="C317" t="inlineStr">
        <is>
          <t>HAIR SALON</t>
        </is>
      </c>
      <c r="D317" t="inlineStr">
        <is>
          <t>Carrer del Marquès de Sentmenat, 84, Les Corts, 08029 Barcelona, Spain</t>
        </is>
      </c>
      <c r="F317">
        <f>+34 618 33 40 28</f>
        <v/>
      </c>
      <c r="H317" t="inlineStr">
        <is>
          <t>Pending</t>
        </is>
      </c>
    </row>
    <row r="318">
      <c r="A318" t="inlineStr">
        <is>
          <t>KAVOD Clínica Estética</t>
        </is>
      </c>
      <c r="C318" t="inlineStr">
        <is>
          <t>HAIR SALON</t>
        </is>
      </c>
      <c r="D318" t="inlineStr">
        <is>
          <t>Pg. de Valldaura, 134, Nou Barris, 08042 Barcelona, Spain</t>
        </is>
      </c>
      <c r="E318" t="inlineStr">
        <is>
          <t>https://www.kavodclinic.com/</t>
        </is>
      </c>
      <c r="F318">
        <f>+34 674 74 48 49</f>
        <v/>
      </c>
      <c r="H318" t="inlineStr">
        <is>
          <t>Pending</t>
        </is>
      </c>
    </row>
    <row r="319">
      <c r="A319" t="inlineStr">
        <is>
          <t>KIARK Saló de cabells</t>
        </is>
      </c>
      <c r="C319" t="inlineStr">
        <is>
          <t>HAIR SALON</t>
        </is>
      </c>
      <c r="D319" t="inlineStr">
        <is>
          <t>Carrer d'Amigó, 39, Sarrià-Sant Gervasi, 08021 Barcelona, Spain</t>
        </is>
      </c>
      <c r="F319">
        <f>+34 936 11 79 47</f>
        <v/>
      </c>
      <c r="H319" t="inlineStr">
        <is>
          <t>Pending</t>
        </is>
      </c>
    </row>
    <row r="320">
      <c r="A320" t="inlineStr">
        <is>
          <t>Kalisados Studio especializado en Keratinas</t>
        </is>
      </c>
      <c r="C320" t="inlineStr">
        <is>
          <t>HAIR SALON</t>
        </is>
      </c>
      <c r="D320" t="inlineStr">
        <is>
          <t>Carrer d'Aragó, 192, Eixample, 08011 Barcelona, Spain</t>
        </is>
      </c>
      <c r="F320">
        <f>+34 644 11 41 65</f>
        <v/>
      </c>
      <c r="H320" t="inlineStr">
        <is>
          <t>Pending</t>
        </is>
      </c>
    </row>
    <row r="321">
      <c r="A321" t="inlineStr">
        <is>
          <t>Katherine Brito – Microblading y Micropigmentación en Barcelona.</t>
        </is>
      </c>
      <c r="C321" t="inlineStr">
        <is>
          <t>HAIR SALON</t>
        </is>
      </c>
      <c r="D321" t="inlineStr">
        <is>
          <t>Carrer de Mallorca, 53, Eixample, 08029 Barcelona, Spain</t>
        </is>
      </c>
      <c r="E321" t="inlineStr">
        <is>
          <t>https://kbcejasperfectas.com/</t>
        </is>
      </c>
      <c r="F321">
        <f>+34 678 68 64 57</f>
        <v/>
      </c>
      <c r="H321" t="inlineStr">
        <is>
          <t>Pending</t>
        </is>
      </c>
    </row>
    <row r="322">
      <c r="A322" t="inlineStr">
        <is>
          <t>Kendric Barber Shop</t>
        </is>
      </c>
      <c r="C322" t="inlineStr">
        <is>
          <t>HAIR SALON</t>
        </is>
      </c>
      <c r="D322" t="inlineStr">
        <is>
          <t>Carrer Santiago Apòstol, 35, 08903 L'Hospitalet de Llobregat, Barcelona, Spain</t>
        </is>
      </c>
      <c r="F322">
        <f>+34 662 21 34 11</f>
        <v/>
      </c>
      <c r="H322" t="inlineStr">
        <is>
          <t>Pending</t>
        </is>
      </c>
    </row>
    <row r="323">
      <c r="A323" t="inlineStr">
        <is>
          <t>KlynInk</t>
        </is>
      </c>
      <c r="C323" t="inlineStr">
        <is>
          <t>HAIR SALON</t>
        </is>
      </c>
      <c r="D323" t="inlineStr">
        <is>
          <t>Via Laietana, 45, Ciutat Vella, 08003 Barcelona, Spain</t>
        </is>
      </c>
      <c r="E323" t="inlineStr">
        <is>
          <t>http://www.klynink.com/</t>
        </is>
      </c>
      <c r="F323">
        <f>+34 644 00 07 83</f>
        <v/>
      </c>
      <c r="H323" t="inlineStr">
        <is>
          <t>Pending</t>
        </is>
      </c>
    </row>
    <row r="324">
      <c r="A324" t="inlineStr">
        <is>
          <t>Kstudio Barbershop Bcn</t>
        </is>
      </c>
      <c r="C324" t="inlineStr">
        <is>
          <t>HAIR SALON</t>
        </is>
      </c>
      <c r="D324" t="inlineStr">
        <is>
          <t>Carrer del Vallespir, 53, Sants-Montjuïc, 08014 Barcelona, Spain</t>
        </is>
      </c>
      <c r="F324">
        <f>+34 695 77 13 66</f>
        <v/>
      </c>
      <c r="H324" t="inlineStr">
        <is>
          <t>Pending</t>
        </is>
      </c>
    </row>
    <row r="325">
      <c r="A325" t="inlineStr">
        <is>
          <t>KōAN BEAUTY LAB - ViBėS by KōAN</t>
        </is>
      </c>
      <c r="C325" t="inlineStr">
        <is>
          <t>HAIR SALON</t>
        </is>
      </c>
      <c r="D325" t="inlineStr">
        <is>
          <t>Carrer de la Flor del Lliri, 4, Ciutat Vella, 08003 Barcelona, Spain</t>
        </is>
      </c>
      <c r="E325" t="inlineStr">
        <is>
          <t>http://www.koanvibes.com/</t>
        </is>
      </c>
      <c r="F325">
        <f>+34 623 31 08 83</f>
        <v/>
      </c>
      <c r="H325" t="inlineStr">
        <is>
          <t>Pending</t>
        </is>
      </c>
    </row>
    <row r="326">
      <c r="A326" t="inlineStr">
        <is>
          <t>KōAN HAIR SPA</t>
        </is>
      </c>
      <c r="C326" t="inlineStr">
        <is>
          <t>HAIR SALON</t>
        </is>
      </c>
      <c r="D326" t="inlineStr">
        <is>
          <t>Club CLUB KōAN, Carrer de Sant Medir, 10, Sants-Montjuïc, 08028 Barcelona, Spain</t>
        </is>
      </c>
      <c r="F326">
        <f>+34 663 21 96 41</f>
        <v/>
      </c>
      <c r="H326" t="inlineStr">
        <is>
          <t>Pending</t>
        </is>
      </c>
    </row>
    <row r="327">
      <c r="A327" t="inlineStr">
        <is>
          <t>L &amp; K Perruqueria i Centre d'Ungles</t>
        </is>
      </c>
      <c r="C327" t="inlineStr">
        <is>
          <t>HAIR SALON</t>
        </is>
      </c>
      <c r="D327" t="inlineStr">
        <is>
          <t>Carrer de Bassegoda, 16, Sants-Montjuïc, 08028 Barcelona, Spain</t>
        </is>
      </c>
      <c r="F327">
        <f>+34 936 03 75 75</f>
        <v/>
      </c>
      <c r="G327" t="inlineStr">
        <is>
          <t>kenia_sepulveda1979@hotmail.com</t>
        </is>
      </c>
      <c r="H327" t="inlineStr">
        <is>
          <t>Pending</t>
        </is>
      </c>
    </row>
    <row r="328">
      <c r="A328" t="inlineStr">
        <is>
          <t>L' ART Perruqueria i Estética Unisex</t>
        </is>
      </c>
      <c r="C328" t="inlineStr">
        <is>
          <t>HAIR SALON</t>
        </is>
      </c>
      <c r="D328" t="inlineStr">
        <is>
          <t>Carrer de Calàbria, 162, tienda 8, Eixample, 08015 Barcelona, Spain</t>
        </is>
      </c>
      <c r="F328">
        <f>+34 692 50 18 87</f>
        <v/>
      </c>
      <c r="H328" t="inlineStr">
        <is>
          <t>Pending</t>
        </is>
      </c>
    </row>
    <row r="329">
      <c r="A329" t="inlineStr">
        <is>
          <t>LA BARBERÍA SHOP</t>
        </is>
      </c>
      <c r="C329" t="inlineStr">
        <is>
          <t>HAIR SALON</t>
        </is>
      </c>
      <c r="D329" t="inlineStr">
        <is>
          <t>Carrer de Benavent, 2, Les Corts, 08028 Barcelona, Spain</t>
        </is>
      </c>
      <c r="F329">
        <f>+34 677 72 04 42</f>
        <v/>
      </c>
      <c r="H329" t="inlineStr">
        <is>
          <t>Pending</t>
        </is>
      </c>
    </row>
    <row r="330">
      <c r="A330" t="inlineStr">
        <is>
          <t>LGEstilistes Saló unisex</t>
        </is>
      </c>
      <c r="C330" t="inlineStr">
        <is>
          <t>HAIR SALON</t>
        </is>
      </c>
      <c r="D330" t="inlineStr">
        <is>
          <t>Carrer de Casanova, 176, Eixample, 08036 Barcelona, Spain</t>
        </is>
      </c>
      <c r="F330">
        <f>+34 934 10 95 61</f>
        <v/>
      </c>
      <c r="H330" t="inlineStr">
        <is>
          <t>Pending</t>
        </is>
      </c>
    </row>
    <row r="331">
      <c r="A331" t="inlineStr">
        <is>
          <t>La Barberia de Pedro</t>
        </is>
      </c>
      <c r="C331" t="inlineStr">
        <is>
          <t>HAIR SALON</t>
        </is>
      </c>
      <c r="D331" t="inlineStr">
        <is>
          <t>Av. de Madrid, 64, Sants-Montjuïc, 08028 Barcelona, Spain</t>
        </is>
      </c>
      <c r="F331">
        <f>+34 933 39 43 47</f>
        <v/>
      </c>
      <c r="G331" t="inlineStr">
        <is>
          <t>help.es@booksy.com</t>
        </is>
      </c>
      <c r="H331" t="inlineStr">
        <is>
          <t>Pending</t>
        </is>
      </c>
    </row>
    <row r="332">
      <c r="A332" t="inlineStr">
        <is>
          <t>La Barbería de Sant Antoni💈</t>
        </is>
      </c>
      <c r="C332" t="inlineStr">
        <is>
          <t>HAIR SALON</t>
        </is>
      </c>
      <c r="D332" t="inlineStr">
        <is>
          <t>Carrer de Floridablanca, 102, Eixample, 08015 Barcelona, Spain</t>
        </is>
      </c>
      <c r="F332">
        <f>+34 649 28 11 01</f>
        <v/>
      </c>
      <c r="H332" t="inlineStr">
        <is>
          <t>Pending</t>
        </is>
      </c>
    </row>
    <row r="333">
      <c r="A333" t="inlineStr">
        <is>
          <t>La Bio Pelu - Bio perruqueria Barcelona</t>
        </is>
      </c>
      <c r="C333" t="inlineStr">
        <is>
          <t>HAIR SALON</t>
        </is>
      </c>
      <c r="D333" t="inlineStr">
        <is>
          <t>Carrer de Provença, 146, Eixample, 08036 Barcelona, Spain</t>
        </is>
      </c>
      <c r="F333">
        <f>+34 930 15 15 52</f>
        <v/>
      </c>
      <c r="H333" t="inlineStr">
        <is>
          <t>Pending</t>
        </is>
      </c>
    </row>
    <row r="334">
      <c r="A334" t="inlineStr">
        <is>
          <t>La Cultura — Salón de belleza &amp; Peluquería</t>
        </is>
      </c>
      <c r="C334" t="inlineStr">
        <is>
          <t>HAIR SALON</t>
        </is>
      </c>
      <c r="D334" t="inlineStr">
        <is>
          <t>Carrer de Loreto, 17, Les Corts, 08029 Barcelona, Spain</t>
        </is>
      </c>
      <c r="H334" t="inlineStr">
        <is>
          <t>Pending</t>
        </is>
      </c>
    </row>
    <row r="335">
      <c r="A335" t="inlineStr">
        <is>
          <t>La Enobarberia</t>
        </is>
      </c>
      <c r="C335" t="inlineStr">
        <is>
          <t>HAIR SALON</t>
        </is>
      </c>
      <c r="D335" t="inlineStr">
        <is>
          <t>Carrer de Sant Pere Més Alt, 24, Ciutat Vella, 08003 Barcelona, Spain</t>
        </is>
      </c>
      <c r="F335">
        <f>+34 930 01 69 92</f>
        <v/>
      </c>
      <c r="H335" t="inlineStr">
        <is>
          <t>Pending</t>
        </is>
      </c>
    </row>
    <row r="336">
      <c r="A336" t="inlineStr">
        <is>
          <t>La Forja Barbershop</t>
        </is>
      </c>
      <c r="C336" t="inlineStr">
        <is>
          <t>HAIR SALON</t>
        </is>
      </c>
      <c r="D336" t="inlineStr">
        <is>
          <t>Carrer del Tenor Masini, 93, Sants-Montjuïc, 08028 Barcelona, Spain</t>
        </is>
      </c>
      <c r="F336">
        <f>+34 692 48 18 76</f>
        <v/>
      </c>
      <c r="G336" t="inlineStr">
        <is>
          <t>help.es@booksy.com</t>
        </is>
      </c>
      <c r="H336" t="inlineStr">
        <is>
          <t>Pending</t>
        </is>
      </c>
    </row>
    <row r="337">
      <c r="A337" t="inlineStr">
        <is>
          <t>La Galería - Jesús Wigs</t>
        </is>
      </c>
      <c r="C337" t="inlineStr">
        <is>
          <t>HAIR SALON</t>
        </is>
      </c>
      <c r="D337" t="inlineStr">
        <is>
          <t>C/ de Muntaner, 8, Eixample, 08011 Barcelona, Spain</t>
        </is>
      </c>
      <c r="E337" t="inlineStr">
        <is>
          <t>http://www.pelucasypostizosenbarcelona.com/</t>
        </is>
      </c>
      <c r="F337">
        <f>+34 934 61 43 13</f>
        <v/>
      </c>
      <c r="H337" t="inlineStr">
        <is>
          <t>Pending</t>
        </is>
      </c>
    </row>
    <row r="338">
      <c r="A338" t="inlineStr">
        <is>
          <t>La Hair Boutique</t>
        </is>
      </c>
      <c r="C338" t="inlineStr">
        <is>
          <t>HAIR SALON</t>
        </is>
      </c>
      <c r="D338" t="inlineStr">
        <is>
          <t>Plaça del Regomir, 5, Ciutat Vella, 08002 Barcelona, Spain</t>
        </is>
      </c>
      <c r="F338">
        <f>+34 936 27 99 51</f>
        <v/>
      </c>
      <c r="G338" t="inlineStr">
        <is>
          <t>lahairboutique.willy@gmail.com</t>
        </is>
      </c>
      <c r="H338" t="inlineStr">
        <is>
          <t>Pending</t>
        </is>
      </c>
    </row>
    <row r="339">
      <c r="A339" t="inlineStr">
        <is>
          <t>La Jaula 54 Estilistas | Peluqueros</t>
        </is>
      </c>
      <c r="C339" t="inlineStr">
        <is>
          <t>HAIR SALON</t>
        </is>
      </c>
      <c r="D339" t="inlineStr">
        <is>
          <t>Carrer del Consell de Cent, 344, Eixample, 08009 Barcelona, Spain</t>
        </is>
      </c>
      <c r="F339">
        <f>+34 622 68 09 60</f>
        <v/>
      </c>
      <c r="H339" t="inlineStr">
        <is>
          <t>Pending</t>
        </is>
      </c>
    </row>
    <row r="340">
      <c r="A340" t="inlineStr">
        <is>
          <t>La Mona Lisa</t>
        </is>
      </c>
      <c r="C340" t="inlineStr">
        <is>
          <t>HAIR SALON</t>
        </is>
      </c>
      <c r="D340" t="inlineStr">
        <is>
          <t>Avinguda de la Granvia de l’Hospitalet, 7, 08908 L'Hospitalet de Llobregat, Barcelona, Spain</t>
        </is>
      </c>
      <c r="F340">
        <f>+34 637 22 27 61</f>
        <v/>
      </c>
      <c r="H340" t="inlineStr">
        <is>
          <t>Pending</t>
        </is>
      </c>
    </row>
    <row r="341">
      <c r="A341" t="inlineStr">
        <is>
          <t>La Pelu De Rakel</t>
        </is>
      </c>
      <c r="C341" t="inlineStr">
        <is>
          <t>HAIR SALON</t>
        </is>
      </c>
      <c r="D341" t="inlineStr">
        <is>
          <t>Carrer dels Alts Forns, 57, Sants-Montjuïc, 08038 Barcelona, Spain</t>
        </is>
      </c>
      <c r="F341">
        <f>+34 934 22 08 63</f>
        <v/>
      </c>
      <c r="H341" t="inlineStr">
        <is>
          <t>Pending</t>
        </is>
      </c>
    </row>
    <row r="342">
      <c r="A342" t="inlineStr">
        <is>
          <t>La Pelu de Joan</t>
        </is>
      </c>
      <c r="C342" t="inlineStr">
        <is>
          <t>HAIR SALON</t>
        </is>
      </c>
      <c r="D342" t="inlineStr">
        <is>
          <t>Carrer de Roger de Llúria, 123, Eixample, 08037 Barcelona, Spain</t>
        </is>
      </c>
      <c r="F342">
        <f>+34 685 80 31 33</f>
        <v/>
      </c>
      <c r="H342" t="inlineStr">
        <is>
          <t>Pending</t>
        </is>
      </c>
    </row>
    <row r="343">
      <c r="A343" t="inlineStr">
        <is>
          <t>La Poupée - Bio Peluquería Barcelona</t>
        </is>
      </c>
      <c r="C343" t="inlineStr">
        <is>
          <t>HAIR SALON</t>
        </is>
      </c>
      <c r="D343" t="inlineStr">
        <is>
          <t>Carrer del Consell de Cent, 211, Eixample, 08011 Barcelona, Spain</t>
        </is>
      </c>
      <c r="F343">
        <f>+34 934 53 58 98</f>
        <v/>
      </c>
      <c r="H343" t="inlineStr">
        <is>
          <t>Pending</t>
        </is>
      </c>
    </row>
    <row r="344">
      <c r="A344" t="inlineStr">
        <is>
          <t>La Scrima</t>
        </is>
      </c>
      <c r="C344" t="inlineStr">
        <is>
          <t>HAIR SALON</t>
        </is>
      </c>
      <c r="D344" t="inlineStr">
        <is>
          <t>Carrer del Comte Borrell, 19, Eixample, 08015 Barcelona, Spain</t>
        </is>
      </c>
      <c r="F344">
        <f>+34 609 13 40 77</f>
        <v/>
      </c>
      <c r="H344" t="inlineStr">
        <is>
          <t>Pending</t>
        </is>
      </c>
    </row>
    <row r="345">
      <c r="A345" t="inlineStr">
        <is>
          <t>La Suite beauty hair</t>
        </is>
      </c>
      <c r="C345" t="inlineStr">
        <is>
          <t>HAIR SALON</t>
        </is>
      </c>
      <c r="D345" t="inlineStr">
        <is>
          <t>Carrer del Consell de Cent, 289, Eixample, 08011 Barcelona, Spain</t>
        </is>
      </c>
      <c r="F345">
        <f>+34 934 51 92 82</f>
        <v/>
      </c>
      <c r="H345" t="inlineStr">
        <is>
          <t>Pending</t>
        </is>
      </c>
    </row>
    <row r="346">
      <c r="A346" t="inlineStr">
        <is>
          <t>La Trini hairsalon</t>
        </is>
      </c>
      <c r="C346" t="inlineStr">
        <is>
          <t>HAIR SALON</t>
        </is>
      </c>
      <c r="D346" t="inlineStr">
        <is>
          <t>Carrer dels Mercaders, 20, Ciutat Vella, 08003 Barcelona, Spain</t>
        </is>
      </c>
      <c r="F346">
        <f>+34 930 24 08 51</f>
        <v/>
      </c>
      <c r="H346" t="inlineStr">
        <is>
          <t>Pending</t>
        </is>
      </c>
    </row>
    <row r="347">
      <c r="A347" t="inlineStr">
        <is>
          <t>La barbería moderna</t>
        </is>
      </c>
      <c r="C347" t="inlineStr">
        <is>
          <t>HAIR SALON</t>
        </is>
      </c>
      <c r="D347" t="inlineStr">
        <is>
          <t>carrer de pau casals 110, Carrer de les Cireres, 86, 08830, Barcelona, Spain</t>
        </is>
      </c>
      <c r="F347">
        <f>+34 602 15 02 05</f>
        <v/>
      </c>
      <c r="H347" t="inlineStr">
        <is>
          <t>Pending</t>
        </is>
      </c>
    </row>
    <row r="348">
      <c r="A348" t="inlineStr">
        <is>
          <t>Lana Goreva Permanent MakeUp</t>
        </is>
      </c>
      <c r="C348" t="inlineStr">
        <is>
          <t>HAIR SALON</t>
        </is>
      </c>
      <c r="D348" t="inlineStr">
        <is>
          <t>Carrer de Sardenya, 68, Sant Martí, 08005 Barcelona, Spain</t>
        </is>
      </c>
      <c r="E348" t="inlineStr">
        <is>
          <t>https://lanagoreva.com/</t>
        </is>
      </c>
      <c r="F348">
        <f>+34 687 84 73 62</f>
        <v/>
      </c>
      <c r="H348" t="inlineStr">
        <is>
          <t>Pending</t>
        </is>
      </c>
    </row>
    <row r="349">
      <c r="A349" t="inlineStr">
        <is>
          <t>Le Petit Salon - Peluquería Barcelona - C/ Buenos Aires</t>
        </is>
      </c>
      <c r="C349" t="inlineStr">
        <is>
          <t>HAIR SALON</t>
        </is>
      </c>
      <c r="D349" t="inlineStr">
        <is>
          <t>Carrer de Buenos Aires, 15, Eixample, 08029 Barcelona, Spain</t>
        </is>
      </c>
      <c r="F349">
        <f>+34 931 24 88 14</f>
        <v/>
      </c>
      <c r="H349" t="inlineStr">
        <is>
          <t>Pending</t>
        </is>
      </c>
    </row>
    <row r="350">
      <c r="A350" t="inlineStr">
        <is>
          <t>Le Salon Barcelona Peluquería Unisex</t>
        </is>
      </c>
      <c r="C350" t="inlineStr">
        <is>
          <t>HAIR SALON</t>
        </is>
      </c>
      <c r="D350" t="inlineStr">
        <is>
          <t>Carrer de Mallorca, 230, Eixample, 08008 Barcelona, Spain</t>
        </is>
      </c>
      <c r="F350">
        <f>+34 934 87 39 83</f>
        <v/>
      </c>
      <c r="G350" t="inlineStr">
        <is>
          <t>info@lesalon.es</t>
        </is>
      </c>
      <c r="H350" t="inlineStr">
        <is>
          <t>Pending</t>
        </is>
      </c>
    </row>
    <row r="351">
      <c r="A351" t="inlineStr">
        <is>
          <t>Le Studio</t>
        </is>
      </c>
      <c r="C351" t="inlineStr">
        <is>
          <t>HAIR SALON</t>
        </is>
      </c>
      <c r="D351" t="inlineStr">
        <is>
          <t>Carrer d'en Roca, 7, Ciutat Vella, 08002 Barcelona, Spain</t>
        </is>
      </c>
      <c r="F351">
        <f>+34 935 66 67 51</f>
        <v/>
      </c>
      <c r="H351" t="inlineStr">
        <is>
          <t>Pending</t>
        </is>
      </c>
    </row>
    <row r="352">
      <c r="A352" t="inlineStr">
        <is>
          <t>Leto Barcelona</t>
        </is>
      </c>
      <c r="C352" t="inlineStr">
        <is>
          <t>HAIR SALON</t>
        </is>
      </c>
      <c r="D352" t="inlineStr">
        <is>
          <t>Carrer de Girona, 31, Eixample, 08010 Barcelona, Spain</t>
        </is>
      </c>
      <c r="F352">
        <f>+34 621 06 62 31</f>
        <v/>
      </c>
      <c r="G352" t="inlineStr">
        <is>
          <t>leto.barcelona@gmail.com</t>
        </is>
      </c>
      <c r="H352" t="inlineStr">
        <is>
          <t>Pending</t>
        </is>
      </c>
    </row>
    <row r="353">
      <c r="A353" t="inlineStr">
        <is>
          <t>Lily Hair Studio - Blonde Experts | English-Speaking Salon</t>
        </is>
      </c>
      <c r="C353" t="inlineStr">
        <is>
          <t>HAIR SALON</t>
        </is>
      </c>
      <c r="D353" t="inlineStr">
        <is>
          <t>Carrer de Santa Tecla, 2, Gràcia, 08012 Barcelona, Spain</t>
        </is>
      </c>
      <c r="F353">
        <f>+34 605 14 15 01</f>
        <v/>
      </c>
      <c r="G353" t="inlineStr">
        <is>
          <t>lilyhairstudio.info@gmail.com</t>
        </is>
      </c>
      <c r="H353" t="inlineStr">
        <is>
          <t>Pending</t>
        </is>
      </c>
    </row>
    <row r="354">
      <c r="A354" t="inlineStr">
        <is>
          <t>Linaje Barber Studio</t>
        </is>
      </c>
      <c r="C354" t="inlineStr">
        <is>
          <t>HAIR SALON</t>
        </is>
      </c>
      <c r="D354" t="inlineStr">
        <is>
          <t>Carrer de Gavà, 22, Sants-Montjuïc, 08014 Barcelona, Spain</t>
        </is>
      </c>
      <c r="F354">
        <f>+34 624 21 32 55</f>
        <v/>
      </c>
      <c r="H354" t="inlineStr">
        <is>
          <t>Pending</t>
        </is>
      </c>
    </row>
    <row r="355">
      <c r="A355" t="inlineStr">
        <is>
          <t>Lizmar Elena Lugo Betancurt</t>
        </is>
      </c>
      <c r="C355" t="inlineStr">
        <is>
          <t>HAIR SALON</t>
        </is>
      </c>
      <c r="D355" t="inlineStr">
        <is>
          <t>Carrer de Mallorca, 82, Eixample, 08029 Barcelona, Spain</t>
        </is>
      </c>
      <c r="E355" t="inlineStr">
        <is>
          <t>https://lizmar.es/</t>
        </is>
      </c>
      <c r="F355">
        <f>+34 673 25 21 84</f>
        <v/>
      </c>
      <c r="H355" t="inlineStr">
        <is>
          <t>Pending</t>
        </is>
      </c>
    </row>
    <row r="356">
      <c r="A356" t="inlineStr">
        <is>
          <t>Llongueras</t>
        </is>
      </c>
      <c r="C356" t="inlineStr">
        <is>
          <t>HAIR SALON</t>
        </is>
      </c>
      <c r="D356" t="inlineStr">
        <is>
          <t>Carrer d'Enric Granados, 45, Eixample, 08008 Barcelona, Spain</t>
        </is>
      </c>
      <c r="F356">
        <f>+34 934 51 96 98</f>
        <v/>
      </c>
      <c r="H356" t="inlineStr">
        <is>
          <t>Pending</t>
        </is>
      </c>
    </row>
    <row r="357">
      <c r="A357" t="inlineStr">
        <is>
          <t>Llongueras Rambla de Catalunya</t>
        </is>
      </c>
      <c r="C357" t="inlineStr">
        <is>
          <t>HAIR SALON</t>
        </is>
      </c>
      <c r="D357" t="inlineStr">
        <is>
          <t>Rambla de Catalunya, 16, Eixample, 08007 Barcelona, Spain</t>
        </is>
      </c>
      <c r="F357">
        <f>+34 933 18 81 42</f>
        <v/>
      </c>
      <c r="H357" t="inlineStr">
        <is>
          <t>Pending</t>
        </is>
      </c>
    </row>
    <row r="358">
      <c r="A358" t="inlineStr">
        <is>
          <t>Lolita Blu organic hair salon</t>
        </is>
      </c>
      <c r="C358" t="inlineStr">
        <is>
          <t>HAIR SALON</t>
        </is>
      </c>
      <c r="D358" t="inlineStr">
        <is>
          <t>Plaça de la Llana, 9, Ciutat Vella, 08003 Barcelona, Spain</t>
        </is>
      </c>
      <c r="F358">
        <f>+34 692 81 35 89</f>
        <v/>
      </c>
      <c r="H358" t="inlineStr">
        <is>
          <t>Pending</t>
        </is>
      </c>
    </row>
    <row r="359">
      <c r="A359" t="inlineStr">
        <is>
          <t>Look Lab - Cejas y Pestañas Naturales | Barcelona</t>
        </is>
      </c>
      <c r="C359" t="inlineStr">
        <is>
          <t>HAIR SALON</t>
        </is>
      </c>
      <c r="D359" t="inlineStr">
        <is>
          <t>Carrer del Rosselló, 235, entre suelo 2, Eixample, 08008 Barcelona, Spain</t>
        </is>
      </c>
      <c r="F359">
        <f>+34 691 01 12 93</f>
        <v/>
      </c>
      <c r="H359" t="inlineStr">
        <is>
          <t>Pending</t>
        </is>
      </c>
    </row>
    <row r="360">
      <c r="A360" t="inlineStr">
        <is>
          <t>Lorente 1947 (Lorente Beauty Concept)</t>
        </is>
      </c>
      <c r="C360" t="inlineStr">
        <is>
          <t>HAIR SALON</t>
        </is>
      </c>
      <c r="D360" t="inlineStr">
        <is>
          <t>Rda. de Sant Pere, 51, Baixos, Eixample, 08010 Barcelona, Spain</t>
        </is>
      </c>
      <c r="F360">
        <f>+34 660 68 61 80</f>
        <v/>
      </c>
      <c r="G360" t="inlineStr">
        <is>
          <t>info@lorente1947.com</t>
        </is>
      </c>
      <c r="H360" t="inlineStr">
        <is>
          <t>Pending</t>
        </is>
      </c>
    </row>
    <row r="361">
      <c r="A361" t="inlineStr">
        <is>
          <t>Lourdes Rodríguez Estilista</t>
        </is>
      </c>
      <c r="C361" t="inlineStr">
        <is>
          <t>HAIR SALON</t>
        </is>
      </c>
      <c r="D361" t="inlineStr">
        <is>
          <t>Carrer Oviedo, 11, 08906 L'Hospitalet de Llobregat, Barcelona, Spain</t>
        </is>
      </c>
      <c r="F361">
        <f>+34 934 38 78 92</f>
        <v/>
      </c>
      <c r="H361" t="inlineStr">
        <is>
          <t>Pending</t>
        </is>
      </c>
    </row>
    <row r="362">
      <c r="A362" t="inlineStr">
        <is>
          <t>Loyal Razor 188 Barbershop Barcelona</t>
        </is>
      </c>
      <c r="C362" t="inlineStr">
        <is>
          <t>HAIR SALON</t>
        </is>
      </c>
      <c r="D362" t="inlineStr">
        <is>
          <t>Ronda del General Mitre, 188 bis, Sarrià-Sant Gervasi, 08006 Barcelona, Spain</t>
        </is>
      </c>
      <c r="E362" t="inlineStr">
        <is>
          <t>https://loyalrazor.com/</t>
        </is>
      </c>
      <c r="F362">
        <f>+34 674 64 65 10</f>
        <v/>
      </c>
      <c r="G362" t="inlineStr">
        <is>
          <t>loyalrazor188@gmail.com</t>
        </is>
      </c>
      <c r="H362" t="inlineStr">
        <is>
          <t>Pending</t>
        </is>
      </c>
    </row>
    <row r="363">
      <c r="A363" t="inlineStr">
        <is>
          <t>Loyalty Barber Shop Barcelona</t>
        </is>
      </c>
      <c r="C363" t="inlineStr">
        <is>
          <t>HAIR SALON</t>
        </is>
      </c>
      <c r="D363" t="inlineStr">
        <is>
          <t>CARRER DEL PINTOR FORTUNY, 10, 08001, 08001 Barcelona, Spain</t>
        </is>
      </c>
      <c r="F363">
        <f>+34 931 96 65 70</f>
        <v/>
      </c>
      <c r="H363" t="inlineStr">
        <is>
          <t>Pending</t>
        </is>
      </c>
    </row>
    <row r="364">
      <c r="A364" t="inlineStr">
        <is>
          <t>Luisa perruqueria unisex</t>
        </is>
      </c>
      <c r="C364" t="inlineStr">
        <is>
          <t>HAIR SALON</t>
        </is>
      </c>
      <c r="D364" t="inlineStr">
        <is>
          <t>Carrer Espanya, 22, 08901 L'Hospitalet de Llobregat, Barcelona, Spain</t>
        </is>
      </c>
      <c r="F364">
        <f>+34 932 61 03 78</f>
        <v/>
      </c>
      <c r="H364" t="inlineStr">
        <is>
          <t>Pending</t>
        </is>
      </c>
    </row>
    <row r="365">
      <c r="A365" t="inlineStr">
        <is>
          <t>Luna Hair Salon</t>
        </is>
      </c>
      <c r="C365" t="inlineStr">
        <is>
          <t>HAIR SALON</t>
        </is>
      </c>
      <c r="D365" t="inlineStr">
        <is>
          <t>Carrer de Pepe Rubianes, 18, Ciutat Vella, 08003 Barcelona, Spain</t>
        </is>
      </c>
      <c r="F365">
        <f>+34 932 21 96 87</f>
        <v/>
      </c>
      <c r="H365" t="inlineStr">
        <is>
          <t>Pending</t>
        </is>
      </c>
    </row>
    <row r="366">
      <c r="A366" t="inlineStr">
        <is>
          <t>LusAr Perruqueria</t>
        </is>
      </c>
      <c r="C366" t="inlineStr">
        <is>
          <t>HAIR SALON</t>
        </is>
      </c>
      <c r="D366" t="inlineStr">
        <is>
          <t>Carrer de la Mare de Déu de Port, 383, Sants-Montjuïc, 08038 Barcelona, Spain</t>
        </is>
      </c>
      <c r="F366">
        <f>+34 935 25 76 57</f>
        <v/>
      </c>
      <c r="H366" t="inlineStr">
        <is>
          <t>Pending</t>
        </is>
      </c>
    </row>
    <row r="367">
      <c r="A367" t="inlineStr">
        <is>
          <t>Lydia Sierra Estilistes</t>
        </is>
      </c>
      <c r="C367" t="inlineStr">
        <is>
          <t>HAIR SALON</t>
        </is>
      </c>
      <c r="D367" t="inlineStr">
        <is>
          <t>Carrer de Gayarre, 18, Sants-Montjuïc, 08014 Barcelona, Spain</t>
        </is>
      </c>
      <c r="F367">
        <f>+34 934 21 61 11</f>
        <v/>
      </c>
      <c r="G367" t="inlineStr">
        <is>
          <t>hola@lydiasierraestilistes.com</t>
        </is>
      </c>
      <c r="H367" t="inlineStr">
        <is>
          <t>Pending</t>
        </is>
      </c>
    </row>
    <row r="368">
      <c r="A368" t="inlineStr">
        <is>
          <t>Lydia estilista</t>
        </is>
      </c>
      <c r="C368" t="inlineStr">
        <is>
          <t>HAIR SALON</t>
        </is>
      </c>
      <c r="D368" t="inlineStr">
        <is>
          <t>Av. Carmen Amaya, 45, 08902 L'Hospitalet de Llobregat, Barcelona, Spain</t>
        </is>
      </c>
      <c r="F368">
        <f>+34 933 36 41 56</f>
        <v/>
      </c>
      <c r="H368" t="inlineStr">
        <is>
          <t>Pending</t>
        </is>
      </c>
    </row>
    <row r="369">
      <c r="A369" t="inlineStr">
        <is>
          <t>L’ARTESÀ BARBERIA | BARBERSHOP BARCELONA</t>
        </is>
      </c>
      <c r="C369" t="inlineStr">
        <is>
          <t>HAIR SALON</t>
        </is>
      </c>
      <c r="D369" t="inlineStr">
        <is>
          <t>Gran Via de les Corts Catalanes, 257, Sants-Montjuïc, 08014 Barcelona, Spain</t>
        </is>
      </c>
      <c r="F369">
        <f>+34 614 11 38 06</f>
        <v/>
      </c>
      <c r="H369" t="inlineStr">
        <is>
          <t>Pending</t>
        </is>
      </c>
    </row>
    <row r="370">
      <c r="A370" t="inlineStr">
        <is>
          <t>MAXILONET - Hospital Universitari Quiron Dexeus</t>
        </is>
      </c>
      <c r="C370" t="inlineStr">
        <is>
          <t>HAIR SALON</t>
        </is>
      </c>
      <c r="D370" t="inlineStr">
        <is>
          <t>Edifici jardí, Gran Via de Carles III, 71, planta 1, 08028 Barcelona, Spain</t>
        </is>
      </c>
      <c r="E370" t="inlineStr">
        <is>
          <t>http://maxilonet.com/</t>
        </is>
      </c>
      <c r="F370">
        <f>+34 937 49 09 37</f>
        <v/>
      </c>
      <c r="G370" t="inlineStr">
        <is>
          <t>pacientes@maxilonet.com</t>
        </is>
      </c>
      <c r="H370" t="inlineStr">
        <is>
          <t>Pending</t>
        </is>
      </c>
    </row>
    <row r="371">
      <c r="A371" t="inlineStr">
        <is>
          <t>MBYK</t>
        </is>
      </c>
      <c r="C371" t="inlineStr">
        <is>
          <t>HAIR SALON</t>
        </is>
      </c>
      <c r="D371" t="inlineStr">
        <is>
          <t>Carrer del Consell de Cent, 160, Eixample, 08014 Barcelona, Spain</t>
        </is>
      </c>
      <c r="F371">
        <f>+34 658 88 39 89</f>
        <v/>
      </c>
      <c r="H371" t="inlineStr">
        <is>
          <t>Pending</t>
        </is>
      </c>
    </row>
    <row r="372">
      <c r="A372" t="inlineStr">
        <is>
          <t>MJ estilistas</t>
        </is>
      </c>
      <c r="C372" t="inlineStr">
        <is>
          <t>HAIR SALON</t>
        </is>
      </c>
      <c r="D372" t="inlineStr">
        <is>
          <t>Carrer de Mossèn Jacint Verdaguer, 16, 08950 Esplugues de Llobregat, Barcelona, Spain</t>
        </is>
      </c>
      <c r="F372">
        <f>+34 674 93 27 76</f>
        <v/>
      </c>
      <c r="H372" t="inlineStr">
        <is>
          <t>Pending</t>
        </is>
      </c>
    </row>
    <row r="373">
      <c r="A373" t="inlineStr">
        <is>
          <t>MP Studio Barcelona</t>
        </is>
      </c>
      <c r="C373" t="inlineStr">
        <is>
          <t>HAIR SALON</t>
        </is>
      </c>
      <c r="D373" t="inlineStr">
        <is>
          <t>Carrer del Capità Arenas, 17, local 3, izquierda, Les Corts, 08034 Barcelona, Spain</t>
        </is>
      </c>
      <c r="F373">
        <f>+34 654 04 23 87</f>
        <v/>
      </c>
      <c r="G373" t="inlineStr">
        <is>
          <t>info@mpstudiobarcelona.com</t>
        </is>
      </c>
      <c r="H373" t="inlineStr">
        <is>
          <t>Pending</t>
        </is>
      </c>
    </row>
    <row r="374">
      <c r="A374" t="inlineStr">
        <is>
          <t>MUNTADA Barbería</t>
        </is>
      </c>
      <c r="C374" t="inlineStr">
        <is>
          <t>HAIR SALON</t>
        </is>
      </c>
      <c r="D374" t="inlineStr">
        <is>
          <t>Carrer de Sant Roc, 35, Sants-Montjuïc, 08014 Barcelona, Spain</t>
        </is>
      </c>
      <c r="F374">
        <f>+34 934 31 99 61</f>
        <v/>
      </c>
      <c r="G374" t="inlineStr">
        <is>
          <t>muntadaperruquers@gmail.com</t>
        </is>
      </c>
      <c r="H374" t="inlineStr">
        <is>
          <t>Pending</t>
        </is>
      </c>
    </row>
    <row r="375">
      <c r="A375" t="inlineStr">
        <is>
          <t>MUSES Barcelona</t>
        </is>
      </c>
      <c r="C375" t="inlineStr">
        <is>
          <t>HAIR SALON</t>
        </is>
      </c>
      <c r="D375" t="inlineStr">
        <is>
          <t>Carrer de Provença, 131, Eixample, 08036 Barcelona, Spain</t>
        </is>
      </c>
      <c r="F375">
        <f>+34 933 23 44 23</f>
        <v/>
      </c>
      <c r="H375" t="inlineStr">
        <is>
          <t>Pending</t>
        </is>
      </c>
    </row>
    <row r="376">
      <c r="A376" t="inlineStr">
        <is>
          <t>MY ART BY BEAUTY</t>
        </is>
      </c>
      <c r="C376" t="inlineStr">
        <is>
          <t>HAIR SALON</t>
        </is>
      </c>
      <c r="D376" t="inlineStr">
        <is>
          <t>Carrer del Tenor Viñas, 12, Entresuelo, 2ª, Sarrià-Sant Gervasi, 08021 Barcelona, Spain</t>
        </is>
      </c>
      <c r="F376">
        <f>+34 662 32 20 08</f>
        <v/>
      </c>
      <c r="G376" t="inlineStr">
        <is>
          <t>myartbymv@gmail.com</t>
        </is>
      </c>
      <c r="H376" t="inlineStr">
        <is>
          <t>Pending</t>
        </is>
      </c>
    </row>
    <row r="377">
      <c r="A377" t="inlineStr">
        <is>
          <t>Madilon</t>
        </is>
      </c>
      <c r="C377" t="inlineStr">
        <is>
          <t>HAIR SALON</t>
        </is>
      </c>
      <c r="D377" t="inlineStr">
        <is>
          <t>Carrer de la Diputació, 184, entlo 3º, Eixample, 08011 Barcelona, Spain</t>
        </is>
      </c>
      <c r="E377" t="inlineStr">
        <is>
          <t>http://www.madilonbarcelona.com/</t>
        </is>
      </c>
      <c r="F377">
        <f>+34 932 15 56 21</f>
        <v/>
      </c>
      <c r="H377" t="inlineStr">
        <is>
          <t>Pending</t>
        </is>
      </c>
    </row>
    <row r="378">
      <c r="A378" t="inlineStr">
        <is>
          <t>Manchado Barbers Estilistes</t>
        </is>
      </c>
      <c r="C378" t="inlineStr">
        <is>
          <t>HAIR SALON</t>
        </is>
      </c>
      <c r="D378" t="inlineStr">
        <is>
          <t>Carrer de la Diputació, 333, Eixample, 08009 Barcelona, Spain</t>
        </is>
      </c>
      <c r="F378">
        <f>+34 691 30 65 18</f>
        <v/>
      </c>
      <c r="H378" t="inlineStr">
        <is>
          <t>Pending</t>
        </is>
      </c>
    </row>
    <row r="379">
      <c r="A379" t="inlineStr">
        <is>
          <t>Manuel Fernandez Perruqueria Home</t>
        </is>
      </c>
      <c r="C379" t="inlineStr">
        <is>
          <t>HAIR SALON</t>
        </is>
      </c>
      <c r="D379" t="inlineStr">
        <is>
          <t>Carrer Ample, 47, Ciutat Vella, 08002 Barcelona, Spain</t>
        </is>
      </c>
      <c r="F379">
        <f>+34 933 15 28 09</f>
        <v/>
      </c>
      <c r="H379" t="inlineStr">
        <is>
          <t>Pending</t>
        </is>
      </c>
    </row>
    <row r="380">
      <c r="A380" t="inlineStr">
        <is>
          <t>Manuela Simó Hair Lab BCN Peluquería</t>
        </is>
      </c>
      <c r="C380" t="inlineStr">
        <is>
          <t>HAIR SALON</t>
        </is>
      </c>
      <c r="D380" t="inlineStr">
        <is>
          <t>Gran Via de Carles III, 46, 48, Les Corts, 08028 Barcelona, Spain</t>
        </is>
      </c>
      <c r="F380">
        <f>+34 933 30 42 44</f>
        <v/>
      </c>
      <c r="H380" t="inlineStr">
        <is>
          <t>Pending</t>
        </is>
      </c>
    </row>
    <row r="381">
      <c r="A381" t="inlineStr">
        <is>
          <t>Marc Calvache Hair Salon. Peluquería Unisex. Barbería.</t>
        </is>
      </c>
      <c r="C381" t="inlineStr">
        <is>
          <t>HAIR SALON</t>
        </is>
      </c>
      <c r="D381" t="inlineStr">
        <is>
          <t>Carrer del Comte d'Urgell, 53, Eixample, 08011 Barcelona, Spain</t>
        </is>
      </c>
      <c r="F381">
        <f>+34 937 30 96 32</f>
        <v/>
      </c>
      <c r="H381" t="inlineStr">
        <is>
          <t>Pending</t>
        </is>
      </c>
    </row>
    <row r="382">
      <c r="A382" t="inlineStr">
        <is>
          <t>Marcela Beauty Secrets</t>
        </is>
      </c>
      <c r="C382" t="inlineStr">
        <is>
          <t>HAIR SALON</t>
        </is>
      </c>
      <c r="D382" t="inlineStr">
        <is>
          <t>Carrer d'Entença, 80, Eixample, 08015 Barcelona, Spain</t>
        </is>
      </c>
      <c r="E382" t="inlineStr">
        <is>
          <t>http://marcelabeautysecrets.com/</t>
        </is>
      </c>
      <c r="F382">
        <f>+34 671 12 61 68</f>
        <v/>
      </c>
      <c r="H382" t="inlineStr">
        <is>
          <t>Pending</t>
        </is>
      </c>
    </row>
    <row r="383">
      <c r="A383" t="inlineStr">
        <is>
          <t>Maria Gras Estètica</t>
        </is>
      </c>
      <c r="C383" t="inlineStr">
        <is>
          <t>HAIR SALON</t>
        </is>
      </c>
      <c r="D383" t="inlineStr">
        <is>
          <t>Carrer de Viladomat, 133, bajo, Eixample, 08015 Barcelona, Spain</t>
        </is>
      </c>
      <c r="E383" t="inlineStr">
        <is>
          <t>https://www.treatwell.es/establecimiento/maria-gras-estetic/</t>
        </is>
      </c>
      <c r="F383">
        <f>+34 682 54 22 64</f>
        <v/>
      </c>
      <c r="H383" t="inlineStr">
        <is>
          <t>Pending</t>
        </is>
      </c>
    </row>
    <row r="384">
      <c r="A384" t="inlineStr">
        <is>
          <t>Maribel Franco</t>
        </is>
      </c>
      <c r="C384" t="inlineStr">
        <is>
          <t>HAIR SALON</t>
        </is>
      </c>
      <c r="D384" t="inlineStr">
        <is>
          <t>Rambla de Catalunya, 111, 3o 1a, Eixample, 08008 Barcelona, Spain</t>
        </is>
      </c>
      <c r="E384" t="inlineStr">
        <is>
          <t>http://www.maribelfranco.com/contact</t>
        </is>
      </c>
      <c r="F384">
        <f>+34 931 82 53 39</f>
        <v/>
      </c>
      <c r="G384" t="inlineStr">
        <is>
          <t>mf@maribelfranco.com</t>
        </is>
      </c>
      <c r="H384" t="inlineStr">
        <is>
          <t>Pending</t>
        </is>
      </c>
    </row>
    <row r="385">
      <c r="A385" t="inlineStr">
        <is>
          <t>Marina Baone Hair Studio</t>
        </is>
      </c>
      <c r="C385" t="inlineStr">
        <is>
          <t>HAIR SALON</t>
        </is>
      </c>
      <c r="D385" t="inlineStr">
        <is>
          <t>Carrer Maria Barrientos, 3, Les Corts, 08028 Barcelona, Spain</t>
        </is>
      </c>
      <c r="F385">
        <f>+34 650 92 41 05</f>
        <v/>
      </c>
      <c r="H385" t="inlineStr">
        <is>
          <t>Pending</t>
        </is>
      </c>
    </row>
    <row r="386">
      <c r="A386" t="inlineStr">
        <is>
          <t>Marshall’s | Hair Salon Les Corts</t>
        </is>
      </c>
      <c r="C386" t="inlineStr">
        <is>
          <t>HAIR SALON</t>
        </is>
      </c>
      <c r="D386" t="inlineStr">
        <is>
          <t>Carrer de Cabestany, 17, Les Corts, 08014 Barcelona, Spain</t>
        </is>
      </c>
      <c r="F386">
        <f>+34 657 81 34 28</f>
        <v/>
      </c>
      <c r="H386" t="inlineStr">
        <is>
          <t>Pending</t>
        </is>
      </c>
    </row>
    <row r="387">
      <c r="A387" t="inlineStr">
        <is>
          <t>Martins Barber Shop</t>
        </is>
      </c>
      <c r="C387" t="inlineStr">
        <is>
          <t>HAIR SALON</t>
        </is>
      </c>
      <c r="D387" t="inlineStr">
        <is>
          <t>Carrer del Parlament, 31, Eixample, 08015 Barcelona, Spain</t>
        </is>
      </c>
      <c r="F387">
        <f>+34 930 23 48 19</f>
        <v/>
      </c>
      <c r="G387" t="inlineStr">
        <is>
          <t>info@martinsbarbershop.es</t>
        </is>
      </c>
      <c r="H387" t="inlineStr">
        <is>
          <t>Pending</t>
        </is>
      </c>
    </row>
    <row r="388">
      <c r="A388" t="inlineStr">
        <is>
          <t>María Blanco</t>
        </is>
      </c>
      <c r="C388" t="inlineStr">
        <is>
          <t>HAIR SALON</t>
        </is>
      </c>
      <c r="D388" t="inlineStr">
        <is>
          <t>Carrer de l'Església, 57, 08901 L'Hospitalet de Llobregat, Barcelona, Spain</t>
        </is>
      </c>
      <c r="F388">
        <f>+34 931 70 04 81</f>
        <v/>
      </c>
      <c r="G388" t="inlineStr">
        <is>
          <t>mariabt80@gmail.com</t>
        </is>
      </c>
      <c r="H388" t="inlineStr">
        <is>
          <t>Pending</t>
        </is>
      </c>
    </row>
    <row r="389">
      <c r="A389" t="inlineStr">
        <is>
          <t>María García Taller d'estilisme</t>
        </is>
      </c>
      <c r="C389" t="inlineStr">
        <is>
          <t>HAIR SALON</t>
        </is>
      </c>
      <c r="D389" t="inlineStr">
        <is>
          <t>Carrer de Pizarro, 10, Ciutat Vella, 08003 Barcelona, Spain</t>
        </is>
      </c>
      <c r="F389">
        <f>+34 933 10 10 24</f>
        <v/>
      </c>
      <c r="H389" t="inlineStr">
        <is>
          <t>Pending</t>
        </is>
      </c>
    </row>
    <row r="390">
      <c r="A390" t="inlineStr">
        <is>
          <t>María Padilla - Estética de vanguardia - Carlos III</t>
        </is>
      </c>
      <c r="C390" t="inlineStr">
        <is>
          <t>HAIR SALON</t>
        </is>
      </c>
      <c r="D390" t="inlineStr">
        <is>
          <t>Gran Via de Carles III, 101, Les Corts, 08028 Barcelona, Spain</t>
        </is>
      </c>
      <c r="E390" t="inlineStr">
        <is>
          <t>https://mariapadilla.es/</t>
        </is>
      </c>
      <c r="F390">
        <f>+34 935 19 02 00</f>
        <v/>
      </c>
      <c r="G390" t="inlineStr">
        <is>
          <t>reservas@mariapadilla.es</t>
        </is>
      </c>
      <c r="H390" t="inlineStr">
        <is>
          <t>Pending</t>
        </is>
      </c>
    </row>
    <row r="391">
      <c r="A391" t="inlineStr">
        <is>
          <t>María Padilla - Estética de vanguardia - Muntaner</t>
        </is>
      </c>
      <c r="C391" t="inlineStr">
        <is>
          <t>HAIR SALON</t>
        </is>
      </c>
      <c r="D391" t="inlineStr">
        <is>
          <t>C/ de Muntaner, 350, Sarrià-Sant Gervasi, 08021 Barcelona, Spain</t>
        </is>
      </c>
      <c r="E391" t="inlineStr">
        <is>
          <t>http://www.mariapadilla.es/</t>
        </is>
      </c>
      <c r="F391">
        <f>+34 935 19 02 00</f>
        <v/>
      </c>
      <c r="G391" t="inlineStr">
        <is>
          <t>reservas@mariapadilla.es</t>
        </is>
      </c>
      <c r="H391" t="inlineStr">
        <is>
          <t>Pending</t>
        </is>
      </c>
    </row>
    <row r="392">
      <c r="A392" t="inlineStr">
        <is>
          <t>Masaguer Barber Salon</t>
        </is>
      </c>
      <c r="C392" t="inlineStr">
        <is>
          <t>HAIR SALON</t>
        </is>
      </c>
      <c r="D392" t="inlineStr">
        <is>
          <t>Carrer de Rocafort, 248, Eixample, 08029 Barcelona, Spain</t>
        </is>
      </c>
      <c r="F392">
        <f>+34 656 53 46 71</f>
        <v/>
      </c>
      <c r="H392" t="inlineStr">
        <is>
          <t>Pending</t>
        </is>
      </c>
    </row>
    <row r="393">
      <c r="A393" t="inlineStr">
        <is>
          <t>Massiel Studio</t>
        </is>
      </c>
      <c r="C393" t="inlineStr">
        <is>
          <t>HAIR SALON</t>
        </is>
      </c>
      <c r="F393">
        <f>+34 692 07 08 51</f>
        <v/>
      </c>
      <c r="H393" t="inlineStr">
        <is>
          <t>Pending</t>
        </is>
      </c>
    </row>
    <row r="394">
      <c r="A394" t="inlineStr">
        <is>
          <t>Matheus Style</t>
        </is>
      </c>
      <c r="C394" t="inlineStr">
        <is>
          <t>HAIR SALON</t>
        </is>
      </c>
      <c r="D394" t="inlineStr">
        <is>
          <t>Carrer Bòbiles, 88, 08905 L'Hospitalet de Llobregat, Barcelona, Spain</t>
        </is>
      </c>
      <c r="F394">
        <f>+34 645 26 33 93</f>
        <v/>
      </c>
      <c r="H394" t="inlineStr">
        <is>
          <t>Pending</t>
        </is>
      </c>
    </row>
    <row r="395">
      <c r="A395" t="inlineStr">
        <is>
          <t>MaxiloDexeus</t>
        </is>
      </c>
      <c r="C395" t="inlineStr">
        <is>
          <t>HAIR SALON</t>
        </is>
      </c>
      <c r="D395" t="inlineStr">
        <is>
          <t>Gran Via de Carles III, 69, Les Corts, 08028 Barcelona, Spain</t>
        </is>
      </c>
      <c r="E395" t="inlineStr">
        <is>
          <t>https://maxilodexeus.com/</t>
        </is>
      </c>
      <c r="F395">
        <f>+34 935 46 01 01</f>
        <v/>
      </c>
      <c r="G395" t="inlineStr">
        <is>
          <t>info@maxilodexeus.com</t>
        </is>
      </c>
      <c r="H395" t="inlineStr">
        <is>
          <t>Pending</t>
        </is>
      </c>
    </row>
    <row r="396">
      <c r="A396" t="inlineStr">
        <is>
          <t>Mayquel</t>
        </is>
      </c>
      <c r="C396" t="inlineStr">
        <is>
          <t>HAIR SALON</t>
        </is>
      </c>
      <c r="D396" t="inlineStr">
        <is>
          <t>Carrer de Sant Antoni Maria Claret, 51, Gràcia, 08025 Barcelona, Spain</t>
        </is>
      </c>
      <c r="E396" t="inlineStr">
        <is>
          <t>http://www.mayquel.com/</t>
        </is>
      </c>
      <c r="F396">
        <f>+34 934 55 64 86</f>
        <v/>
      </c>
      <c r="H396" t="inlineStr">
        <is>
          <t>Pending</t>
        </is>
      </c>
    </row>
    <row r="397">
      <c r="A397" t="inlineStr">
        <is>
          <t>McB Salón de Belleza Aribau</t>
        </is>
      </c>
      <c r="C397" t="inlineStr">
        <is>
          <t>HAIR SALON</t>
        </is>
      </c>
      <c r="D397" t="inlineStr">
        <is>
          <t>Carrer de València, 183, Eixample, 08011 Barcelona, Spain</t>
        </is>
      </c>
      <c r="F397">
        <f>+34 930 10 23 52</f>
        <v/>
      </c>
      <c r="G397" t="inlineStr">
        <is>
          <t>mcbaribau@gmail.com</t>
        </is>
      </c>
      <c r="H397" t="inlineStr">
        <is>
          <t>Pending</t>
        </is>
      </c>
    </row>
    <row r="398">
      <c r="A398" t="inlineStr">
        <is>
          <t>McB Salón de Belleza Diputación</t>
        </is>
      </c>
      <c r="C398" t="inlineStr">
        <is>
          <t>HAIR SALON</t>
        </is>
      </c>
      <c r="D398" t="inlineStr">
        <is>
          <t>Carrer de la Diputació, 381, Eixample, 08013 Barcelona, Spain</t>
        </is>
      </c>
      <c r="F398">
        <f>+34 930 17 52 48</f>
        <v/>
      </c>
      <c r="G398" t="inlineStr">
        <is>
          <t>mcbaribau@gmail.com</t>
        </is>
      </c>
      <c r="H398" t="inlineStr">
        <is>
          <t>Pending</t>
        </is>
      </c>
    </row>
    <row r="399">
      <c r="A399" t="inlineStr">
        <is>
          <t>Medestec</t>
        </is>
      </c>
      <c r="C399" t="inlineStr">
        <is>
          <t>HAIR SALON</t>
        </is>
      </c>
      <c r="D399" t="inlineStr">
        <is>
          <t>Ptge. de Xile, 54b, Les Corts, 08028 Barcelona, Spain</t>
        </is>
      </c>
      <c r="E399" t="inlineStr">
        <is>
          <t>http://www.medestec.com/</t>
        </is>
      </c>
      <c r="F399">
        <f>+34 934 57 78 22</f>
        <v/>
      </c>
      <c r="H399" t="inlineStr">
        <is>
          <t>Pending</t>
        </is>
      </c>
    </row>
    <row r="400">
      <c r="A400" t="inlineStr">
        <is>
          <t>Medical Esthetic Group - Barcelona</t>
        </is>
      </c>
      <c r="C400" t="inlineStr">
        <is>
          <t>HAIR SALON</t>
        </is>
      </c>
      <c r="D400" t="inlineStr">
        <is>
          <t>Pg. de la Bonanova, 69, 4º, Sarrià-Sant Gervasi, 08017 Barcelona, Spain</t>
        </is>
      </c>
      <c r="E400" t="inlineStr">
        <is>
          <t>https://medicalestheticgroup.com/</t>
        </is>
      </c>
      <c r="F400">
        <f>+34 654 64 59 92</f>
        <v/>
      </c>
      <c r="H400" t="inlineStr">
        <is>
          <t>Pending</t>
        </is>
      </c>
    </row>
    <row r="401">
      <c r="A401" t="inlineStr">
        <is>
          <t>Medical Group Barcelona</t>
        </is>
      </c>
      <c r="C401" t="inlineStr">
        <is>
          <t>HAIR SALON</t>
        </is>
      </c>
      <c r="D401" t="inlineStr">
        <is>
          <t>Carrer de Sepúlveda, 125, Eixample, 08015 Barcelona, Spain</t>
        </is>
      </c>
      <c r="E401" t="inlineStr">
        <is>
          <t>http://www.medicalgroupbcn.com/</t>
        </is>
      </c>
      <c r="F401">
        <f>+34 664 55 48 16</f>
        <v/>
      </c>
      <c r="H401" t="inlineStr">
        <is>
          <t>Pending</t>
        </is>
      </c>
    </row>
    <row r="402">
      <c r="A402" t="inlineStr">
        <is>
          <t>Medicina Estetica Y Regenerativa Lipofilling Dr. Gonzalo Wiersba</t>
        </is>
      </c>
      <c r="C402" t="inlineStr">
        <is>
          <t>HAIR SALON</t>
        </is>
      </c>
      <c r="D402" t="inlineStr">
        <is>
          <t>Carrer Francesc Pérez Cabrero, 11A, entresuelo 4a, Sarrià-Sant Gervasi, 08021 Barcelona, Spain</t>
        </is>
      </c>
      <c r="E402" t="inlineStr">
        <is>
          <t>https://terapiaregenerativa.es/</t>
        </is>
      </c>
      <c r="F402">
        <f>+34 665 30 68 98</f>
        <v/>
      </c>
      <c r="H402" t="inlineStr">
        <is>
          <t>Pending</t>
        </is>
      </c>
    </row>
    <row r="403">
      <c r="A403" t="inlineStr">
        <is>
          <t>Medisoc Medicina Estética</t>
        </is>
      </c>
      <c r="C403" t="inlineStr">
        <is>
          <t>HAIR SALON</t>
        </is>
      </c>
      <c r="D403" t="inlineStr">
        <is>
          <t>Carrer de Manuel de Falla, 38, Sarrià-Sant Gervasi, 08034 Barcelona, Spain</t>
        </is>
      </c>
      <c r="E403" t="inlineStr">
        <is>
          <t>http://www.medisoc.es/</t>
        </is>
      </c>
      <c r="F403">
        <f>+34 932 80 23 60</f>
        <v/>
      </c>
      <c r="H403" t="inlineStr">
        <is>
          <t>Pending</t>
        </is>
      </c>
    </row>
    <row r="404">
      <c r="A404" t="inlineStr">
        <is>
          <t>Mei mei centro de masajes y peluquería</t>
        </is>
      </c>
      <c r="C404" t="inlineStr">
        <is>
          <t>HAIR SALON</t>
        </is>
      </c>
      <c r="D404" t="inlineStr">
        <is>
          <t>Carrer de Jaume Fabra, 7, Sants-Montjuïc, 08004 Barcelona, Spain</t>
        </is>
      </c>
      <c r="F404">
        <f>+34 699 90 51 08</f>
        <v/>
      </c>
      <c r="H404" t="inlineStr">
        <is>
          <t>Pending</t>
        </is>
      </c>
    </row>
    <row r="405">
      <c r="A405" t="inlineStr">
        <is>
          <t>Melani Perruqueria Unisex</t>
        </is>
      </c>
      <c r="C405" t="inlineStr">
        <is>
          <t>HAIR SALON</t>
        </is>
      </c>
      <c r="D405" t="inlineStr">
        <is>
          <t>Carrer de Jordi Girona, 14, Les Corts, 08034 Barcelona, Spain</t>
        </is>
      </c>
      <c r="F405">
        <f>+34 936 73 62 34</f>
        <v/>
      </c>
      <c r="H405" t="inlineStr">
        <is>
          <t>Pending</t>
        </is>
      </c>
    </row>
    <row r="406">
      <c r="A406" t="inlineStr">
        <is>
          <t>Mens Lab Hair Salon</t>
        </is>
      </c>
      <c r="C406" t="inlineStr">
        <is>
          <t>HAIR SALON</t>
        </is>
      </c>
      <c r="D406" t="inlineStr">
        <is>
          <t>Carrer de Londres, 67, Eixample, 08036 Barcelona, Spain</t>
        </is>
      </c>
      <c r="F406">
        <f>+34 937 87 96 04</f>
        <v/>
      </c>
      <c r="G406" t="inlineStr">
        <is>
          <t>fao@menslab-bcn.com</t>
        </is>
      </c>
      <c r="H406" t="inlineStr">
        <is>
          <t>Pending</t>
        </is>
      </c>
    </row>
    <row r="407">
      <c r="A407" t="inlineStr">
        <is>
          <t>Mi Espacio Rizado</t>
        </is>
      </c>
      <c r="C407" t="inlineStr">
        <is>
          <t>HAIR SALON</t>
        </is>
      </c>
      <c r="D407" t="inlineStr">
        <is>
          <t>Carrer de Sepúlveda, 157, Eixample, 08011 Barcelona, Spain</t>
        </is>
      </c>
      <c r="E407" t="inlineStr">
        <is>
          <t>http://bit.ly/miespaciorizado</t>
        </is>
      </c>
      <c r="F407">
        <f>+34 602 35 73 80</f>
        <v/>
      </c>
      <c r="H407" t="inlineStr">
        <is>
          <t>Pending</t>
        </is>
      </c>
    </row>
    <row r="408">
      <c r="A408" t="inlineStr">
        <is>
          <t>Mi Espacio Rizado Sarrià</t>
        </is>
      </c>
      <c r="C408" t="inlineStr">
        <is>
          <t>HAIR SALON</t>
        </is>
      </c>
      <c r="D408" t="inlineStr">
        <is>
          <t>Carrer de Bori i Fontestà, 13, Sarrià-Sant Gervasi, 08021 Barcelona, Spain</t>
        </is>
      </c>
      <c r="F408">
        <f>+34 613 08 68 86</f>
        <v/>
      </c>
      <c r="H408" t="inlineStr">
        <is>
          <t>Pending</t>
        </is>
      </c>
    </row>
    <row r="409">
      <c r="A409" t="inlineStr">
        <is>
          <t>Michael Stark Atelier</t>
        </is>
      </c>
      <c r="C409" t="inlineStr">
        <is>
          <t>HAIR SALON</t>
        </is>
      </c>
      <c r="D409" t="inlineStr">
        <is>
          <t>Gran Via de les Corts Catalanes, 617, 1-2, Eixample, 08007 Barcelona, Spain</t>
        </is>
      </c>
      <c r="F409">
        <f>+34 665 33 04 66</f>
        <v/>
      </c>
      <c r="H409" t="inlineStr">
        <is>
          <t>Pending</t>
        </is>
      </c>
    </row>
    <row r="410">
      <c r="A410" t="inlineStr">
        <is>
          <t>Micropigmentación - Centro Micromédical</t>
        </is>
      </c>
      <c r="C410" t="inlineStr">
        <is>
          <t>HAIR SALON</t>
        </is>
      </c>
      <c r="D410" t="inlineStr">
        <is>
          <t>Pg. de la Bonanova, 63 Bis, bajos, Sarrià-Sant Gervasi, 08017 Barcelona, Spain</t>
        </is>
      </c>
      <c r="E410" t="inlineStr">
        <is>
          <t>https://micromedical.es/</t>
        </is>
      </c>
      <c r="F410">
        <f>+34 686 51 96 06</f>
        <v/>
      </c>
      <c r="G410" t="inlineStr">
        <is>
          <t>info@micromedical.es</t>
        </is>
      </c>
      <c r="H410" t="inlineStr">
        <is>
          <t>Pending</t>
        </is>
      </c>
    </row>
    <row r="411">
      <c r="A411" t="inlineStr">
        <is>
          <t>Micropigmentación Almudena Amaya</t>
        </is>
      </c>
      <c r="C411" t="inlineStr">
        <is>
          <t>HAIR SALON</t>
        </is>
      </c>
      <c r="D411" t="inlineStr">
        <is>
          <t>Metro Hospital Clínic, Carrer del Rosselló, 102, 08008 Barcelona, Spain</t>
        </is>
      </c>
      <c r="F411">
        <f>+34 618 90 27 31</f>
        <v/>
      </c>
      <c r="H411" t="inlineStr">
        <is>
          <t>Pending</t>
        </is>
      </c>
    </row>
    <row r="412">
      <c r="A412" t="inlineStr">
        <is>
          <t>Micropigmentación Clínica Mandri - Silvia Garcia Guerra</t>
        </is>
      </c>
      <c r="C412" t="inlineStr">
        <is>
          <t>HAIR SALON</t>
        </is>
      </c>
      <c r="D412" t="inlineStr">
        <is>
          <t>Carrer de Bigai, 11, 13 Local 1, Sarrià-Sant Gervasi, 08022 Barcelona, Spain</t>
        </is>
      </c>
      <c r="E412" t="inlineStr">
        <is>
          <t>http://micropigmentacionclinicamandri.com/</t>
        </is>
      </c>
      <c r="F412">
        <f>+34 630 95 32 98</f>
        <v/>
      </c>
      <c r="G412" t="inlineStr">
        <is>
          <t>info@clinicamandri.com</t>
        </is>
      </c>
      <c r="H412" t="inlineStr">
        <is>
          <t>Pending</t>
        </is>
      </c>
    </row>
    <row r="413">
      <c r="A413" t="inlineStr">
        <is>
          <t>Micropigmentación María Dolores</t>
        </is>
      </c>
      <c r="C413" t="inlineStr">
        <is>
          <t>HAIR SALON</t>
        </is>
      </c>
      <c r="D413" t="inlineStr">
        <is>
          <t>Carrer de la Cultura, 33, 08922 Santa Coloma de Gramenet, Barcelona, Spain</t>
        </is>
      </c>
      <c r="E413" t="inlineStr">
        <is>
          <t>http://www.micropigmentacion.info/</t>
        </is>
      </c>
      <c r="F413">
        <f>+34 937 50 57 63</f>
        <v/>
      </c>
      <c r="H413" t="inlineStr">
        <is>
          <t>Pending</t>
        </is>
      </c>
    </row>
    <row r="414">
      <c r="A414" t="inlineStr">
        <is>
          <t>Minore Barber Eixample</t>
        </is>
      </c>
      <c r="C414" t="inlineStr">
        <is>
          <t>HAIR SALON</t>
        </is>
      </c>
      <c r="D414" t="inlineStr">
        <is>
          <t>Carrer de Mallorca, 233, Eixample, 08008 Barcelona, Spain</t>
        </is>
      </c>
      <c r="F414">
        <f>+34 618 46 11 24</f>
        <v/>
      </c>
      <c r="H414" t="inlineStr">
        <is>
          <t>Pending</t>
        </is>
      </c>
    </row>
    <row r="415">
      <c r="A415" t="inlineStr">
        <is>
          <t>Mirik Beauty</t>
        </is>
      </c>
      <c r="C415" t="inlineStr">
        <is>
          <t>HAIR SALON</t>
        </is>
      </c>
      <c r="D415" t="inlineStr">
        <is>
          <t>Carrer de Balmes, 190, Sarrià-Sant Gervasi, 08006 Barcelona, Spain</t>
        </is>
      </c>
      <c r="E415" t="inlineStr">
        <is>
          <t>http://www.mirikbeauty.com/</t>
        </is>
      </c>
      <c r="F415">
        <f>+34 683 60 96 19</f>
        <v/>
      </c>
      <c r="H415" t="inlineStr">
        <is>
          <t>Pending</t>
        </is>
      </c>
    </row>
    <row r="416">
      <c r="A416" t="inlineStr">
        <is>
          <t>Monkey Studio Barber Shop</t>
        </is>
      </c>
      <c r="C416" t="inlineStr">
        <is>
          <t>HAIR SALON</t>
        </is>
      </c>
      <c r="D416" t="inlineStr">
        <is>
          <t>Av. de la Llibertat, 34, 08820 El Prat de Llobregat, Barcelona, Spain</t>
        </is>
      </c>
      <c r="F416">
        <f>+34 675 70 95 31</f>
        <v/>
      </c>
      <c r="H416" t="inlineStr">
        <is>
          <t>Pending</t>
        </is>
      </c>
    </row>
    <row r="417">
      <c r="A417" t="inlineStr">
        <is>
          <t>Mr. Braz Steampunk Barbershop | Barbería El Born &amp; Arc de Triomf</t>
        </is>
      </c>
      <c r="C417" t="inlineStr">
        <is>
          <t>HAIR SALON</t>
        </is>
      </c>
      <c r="D417" t="inlineStr">
        <is>
          <t>Carrer de les Basses de Sant Pere, 9, local 1, Ciutat Vella, 08003 Barcelona, Spain</t>
        </is>
      </c>
      <c r="F417">
        <f>+34 644 62 55 75</f>
        <v/>
      </c>
      <c r="H417" t="inlineStr">
        <is>
          <t>Pending</t>
        </is>
      </c>
    </row>
    <row r="418">
      <c r="A418" t="inlineStr">
        <is>
          <t>Mr. Outfit - Masculine Image Experts- Hair&amp;Body</t>
        </is>
      </c>
      <c r="C418" t="inlineStr">
        <is>
          <t>HAIR SALON</t>
        </is>
      </c>
      <c r="D418" t="inlineStr">
        <is>
          <t>Carrer del Comte d'Urgell, 210, Eixample, 08036 Barcelona, Spain</t>
        </is>
      </c>
      <c r="F418">
        <f>+34 934 19 64 41</f>
        <v/>
      </c>
      <c r="H418" t="inlineStr">
        <is>
          <t>Pending</t>
        </is>
      </c>
    </row>
    <row r="419">
      <c r="A419" t="inlineStr">
        <is>
          <t>Mundo de Rizos Barcelona ✂</t>
        </is>
      </c>
      <c r="C419" t="inlineStr">
        <is>
          <t>HAIR SALON</t>
        </is>
      </c>
      <c r="D419" t="inlineStr">
        <is>
          <t>Gran Via de les Corts Catalanes, 471, Eixample, 08015 Barcelona, Spain</t>
        </is>
      </c>
      <c r="F419">
        <f>+34 624 69 50 71</f>
        <v/>
      </c>
      <c r="H419" t="inlineStr">
        <is>
          <t>Pending</t>
        </is>
      </c>
    </row>
    <row r="420">
      <c r="A420" t="inlineStr">
        <is>
          <t>Muntada Barber Shop</t>
        </is>
      </c>
      <c r="C420" t="inlineStr">
        <is>
          <t>HAIR SALON</t>
        </is>
      </c>
      <c r="D420" t="inlineStr">
        <is>
          <t>78, Carrer de Provença, 08029 Barcelona, Spain</t>
        </is>
      </c>
      <c r="F420">
        <f>+34 934 10 67 08</f>
        <v/>
      </c>
      <c r="H420" t="inlineStr">
        <is>
          <t>Pending</t>
        </is>
      </c>
    </row>
    <row r="421">
      <c r="A421" t="inlineStr">
        <is>
          <t>Mustache Barber Shop</t>
        </is>
      </c>
      <c r="C421" t="inlineStr">
        <is>
          <t>HAIR SALON</t>
        </is>
      </c>
      <c r="D421" t="inlineStr">
        <is>
          <t>Carrer de Mallorca, 279, Eixample, 08037 Barcelona, Spain</t>
        </is>
      </c>
      <c r="F421">
        <f>+34 930 02 19 42</f>
        <v/>
      </c>
      <c r="G421" t="inlineStr">
        <is>
          <t>mustachebarbershop@gmail.com</t>
        </is>
      </c>
      <c r="H421" t="inlineStr">
        <is>
          <t>Pending</t>
        </is>
      </c>
    </row>
    <row r="422">
      <c r="A422" t="inlineStr">
        <is>
          <t>NOU estil - Estilistes</t>
        </is>
      </c>
      <c r="C422" t="inlineStr">
        <is>
          <t>HAIR SALON</t>
        </is>
      </c>
      <c r="D422" t="inlineStr">
        <is>
          <t>Carrer de Rosell, 28, 08902 L'Hospitalet de Llobregat, Barcelona, Spain</t>
        </is>
      </c>
      <c r="F422">
        <f>+34 934 31 59 63</f>
        <v/>
      </c>
      <c r="H422" t="inlineStr">
        <is>
          <t>Pending</t>
        </is>
      </c>
    </row>
    <row r="423">
      <c r="A423" t="inlineStr">
        <is>
          <t>New Attitude Barcelona Stylists</t>
        </is>
      </c>
      <c r="C423" t="inlineStr">
        <is>
          <t>HAIR SALON</t>
        </is>
      </c>
      <c r="D423" t="inlineStr">
        <is>
          <t>Carrer de Casanova, 232, Bajos 1ª, Eixample, 08036 Barcelona, Spain</t>
        </is>
      </c>
      <c r="F423">
        <f>+34 934 10 81 13</f>
        <v/>
      </c>
      <c r="H423" t="inlineStr">
        <is>
          <t>Pending</t>
        </is>
      </c>
    </row>
    <row r="424">
      <c r="A424" t="inlineStr">
        <is>
          <t>New Look Turo</t>
        </is>
      </c>
      <c r="C424" t="inlineStr">
        <is>
          <t>HAIR SALON</t>
        </is>
      </c>
      <c r="D424" t="inlineStr">
        <is>
          <t>Carrer de Ferran Agulló, 4, Sarrià-Sant Gervasi, 08021 Barcelona, Spain</t>
        </is>
      </c>
      <c r="F424">
        <f>+34 932 01 00 07</f>
        <v/>
      </c>
      <c r="H424" t="inlineStr">
        <is>
          <t>Pending</t>
        </is>
      </c>
    </row>
    <row r="425">
      <c r="A425" t="inlineStr">
        <is>
          <t>Nexo Clinics | Clínica de Cirugía Plástica y Estética Barcelona</t>
        </is>
      </c>
      <c r="C425" t="inlineStr">
        <is>
          <t>HAIR SALON</t>
        </is>
      </c>
      <c r="D425" t="inlineStr">
        <is>
          <t>Hospital Universitari Sagrat Cor. Paris, Carrer de París, 83, 6ta Planta, Consultorio 6.9, Eixample, 08029 Barcelona, Spain</t>
        </is>
      </c>
      <c r="E425" t="inlineStr">
        <is>
          <t>https://nexoclinics.com/</t>
        </is>
      </c>
      <c r="F425">
        <f>+34 607 55 61 07</f>
        <v/>
      </c>
      <c r="G425" t="inlineStr">
        <is>
          <t>info@nexoclinics.com</t>
        </is>
      </c>
      <c r="H425" t="inlineStr">
        <is>
          <t>Pending</t>
        </is>
      </c>
    </row>
    <row r="426">
      <c r="A426" t="inlineStr">
        <is>
          <t>Noan Clinic</t>
        </is>
      </c>
      <c r="C426" t="inlineStr">
        <is>
          <t>HAIR SALON</t>
        </is>
      </c>
      <c r="D426" t="inlineStr">
        <is>
          <t>C/ de Muntaner, 471, Sarrià-Sant Gervasi, 08021 Barcelona, Spain</t>
        </is>
      </c>
      <c r="E426" t="inlineStr">
        <is>
          <t>http://www.noanclinic.com/</t>
        </is>
      </c>
      <c r="F426">
        <f>+34 931 68 23 06</f>
        <v/>
      </c>
      <c r="G426" t="inlineStr">
        <is>
          <t>info@noanclinic.com</t>
        </is>
      </c>
      <c r="H426" t="inlineStr">
        <is>
          <t>Pending</t>
        </is>
      </c>
    </row>
    <row r="427">
      <c r="A427" t="inlineStr">
        <is>
          <t>Noon Salón - Barcelona</t>
        </is>
      </c>
      <c r="C427" t="inlineStr">
        <is>
          <t>HAIR SALON</t>
        </is>
      </c>
      <c r="D427" t="inlineStr">
        <is>
          <t>Carrer de Méndez Núñez, 2, Ciutat Vella, 08003 Barcelona, Spain</t>
        </is>
      </c>
      <c r="F427">
        <f>+34 930 25 99 63</f>
        <v/>
      </c>
      <c r="G427" t="inlineStr">
        <is>
          <t>info@noonsalon.es</t>
        </is>
      </c>
      <c r="H427" t="inlineStr">
        <is>
          <t>Pending</t>
        </is>
      </c>
    </row>
    <row r="428">
      <c r="A428" t="inlineStr">
        <is>
          <t>Nordic Hair &amp; Beauty</t>
        </is>
      </c>
      <c r="C428" t="inlineStr">
        <is>
          <t>HAIR SALON</t>
        </is>
      </c>
      <c r="D428" t="inlineStr">
        <is>
          <t>Carrer de Roger de Llúria, 93, Eixample, 08009 Barcelona, Spain</t>
        </is>
      </c>
      <c r="F428">
        <f>+34 660 33 58 27</f>
        <v/>
      </c>
      <c r="H428" t="inlineStr">
        <is>
          <t>Pending</t>
        </is>
      </c>
    </row>
    <row r="429">
      <c r="A429" t="inlineStr">
        <is>
          <t>Number 9 Hair Salon</t>
        </is>
      </c>
      <c r="C429" t="inlineStr">
        <is>
          <t>HAIR SALON</t>
        </is>
      </c>
      <c r="D429" t="inlineStr">
        <is>
          <t>Carrer dels Tiradors, 9, local 1, Ciutat Vella, 08003 Barcelona, Spain</t>
        </is>
      </c>
      <c r="F429">
        <f>+34 930 24 60 88</f>
        <v/>
      </c>
      <c r="H429" t="inlineStr">
        <is>
          <t>Pending</t>
        </is>
      </c>
    </row>
    <row r="430">
      <c r="A430" t="inlineStr">
        <is>
          <t>O-iy</t>
        </is>
      </c>
      <c r="C430" t="inlineStr">
        <is>
          <t>HAIR SALON</t>
        </is>
      </c>
      <c r="D430" t="inlineStr">
        <is>
          <t>C/ de Muntaner, 1, Eixample, 08011 Barcelona, Spain</t>
        </is>
      </c>
      <c r="F430">
        <f>+34 722 36 52 76</f>
        <v/>
      </c>
      <c r="H430" t="inlineStr">
        <is>
          <t>Pending</t>
        </is>
      </c>
    </row>
    <row r="431">
      <c r="A431" t="inlineStr">
        <is>
          <t>OLIVERAS HAIR SPA Barcelona</t>
        </is>
      </c>
      <c r="C431" t="inlineStr">
        <is>
          <t>HAIR SALON</t>
        </is>
      </c>
      <c r="D431" t="inlineStr">
        <is>
          <t>Carrer de Johann Sebastian Bach, 20 Bis, Sarrià-Sant Gervasi, 08021 Barcelona, Spain</t>
        </is>
      </c>
      <c r="F431">
        <f>+34 932 00 54 44</f>
        <v/>
      </c>
      <c r="H431" t="inlineStr">
        <is>
          <t>Pending</t>
        </is>
      </c>
    </row>
    <row r="432">
      <c r="A432" t="inlineStr">
        <is>
          <t>Olga Domínguez Perruquers</t>
        </is>
      </c>
      <c r="C432" t="inlineStr">
        <is>
          <t>HAIR SALON</t>
        </is>
      </c>
      <c r="D432" t="inlineStr">
        <is>
          <t>Carrer Tecla Sala, 6, 08901 L'Hospitalet de Llobregat, Barcelona, Spain</t>
        </is>
      </c>
      <c r="F432">
        <f>+34 933 37 81 75</f>
        <v/>
      </c>
      <c r="H432" t="inlineStr">
        <is>
          <t>Pending</t>
        </is>
      </c>
    </row>
    <row r="433">
      <c r="A433" t="inlineStr">
        <is>
          <t>Olga Perruqueria Unisex</t>
        </is>
      </c>
      <c r="C433" t="inlineStr">
        <is>
          <t>HAIR SALON</t>
        </is>
      </c>
      <c r="D433" t="inlineStr">
        <is>
          <t>Carrer de Rocafort, 12, Eixample, 08015 Barcelona, Spain</t>
        </is>
      </c>
      <c r="F433">
        <f>+34 626 02 71 80</f>
        <v/>
      </c>
      <c r="H433" t="inlineStr">
        <is>
          <t>Pending</t>
        </is>
      </c>
    </row>
    <row r="434">
      <c r="A434" t="inlineStr">
        <is>
          <t>Olmos.salon</t>
        </is>
      </c>
      <c r="C434" t="inlineStr">
        <is>
          <t>HAIR SALON</t>
        </is>
      </c>
      <c r="D434" t="inlineStr">
        <is>
          <t>Av. Diagonal, 400, 3/2A, Eixample, 08037 Barcelona, Spain</t>
        </is>
      </c>
      <c r="F434">
        <f>+34 932 17 32 47</f>
        <v/>
      </c>
      <c r="H434" t="inlineStr">
        <is>
          <t>Pending</t>
        </is>
      </c>
    </row>
    <row r="435">
      <c r="A435" t="inlineStr">
        <is>
          <t>Omicroart, Especialistas Micropigmentación Sabadell</t>
        </is>
      </c>
      <c r="C435" t="inlineStr">
        <is>
          <t>HAIR SALON</t>
        </is>
      </c>
      <c r="D435" t="inlineStr">
        <is>
          <t>Av. Diagonal, 363, 3-2, Eixample, 08037 Barcelona, Spain</t>
        </is>
      </c>
      <c r="E435" t="inlineStr">
        <is>
          <t>https://www.omicroart.com/</t>
        </is>
      </c>
      <c r="F435">
        <f>+34 605 05 09 06</f>
        <v/>
      </c>
      <c r="H435" t="inlineStr">
        <is>
          <t>Pending</t>
        </is>
      </c>
    </row>
    <row r="436">
      <c r="A436" t="inlineStr">
        <is>
          <t>On Line Salón Unisex</t>
        </is>
      </c>
      <c r="C436" t="inlineStr">
        <is>
          <t>HAIR SALON</t>
        </is>
      </c>
      <c r="D436" t="inlineStr">
        <is>
          <t>Carrer de Manso, 37, local 3, Eixample, 08015 Barcelona, Spain</t>
        </is>
      </c>
      <c r="F436">
        <f>+34 934 24 30 81</f>
        <v/>
      </c>
      <c r="H436" t="inlineStr">
        <is>
          <t>Pending</t>
        </is>
      </c>
    </row>
    <row r="437">
      <c r="A437" t="inlineStr">
        <is>
          <t>Ona Estilistes Unisex</t>
        </is>
      </c>
      <c r="C437" t="inlineStr">
        <is>
          <t>HAIR SALON</t>
        </is>
      </c>
      <c r="D437" t="inlineStr">
        <is>
          <t>Carrer Mina, 63, 08906 L'Hospitalet de Llobregat, Barcelona, Spain</t>
        </is>
      </c>
      <c r="F437">
        <f>+34 934 38 25 52</f>
        <v/>
      </c>
      <c r="H437" t="inlineStr">
        <is>
          <t>Pending</t>
        </is>
      </c>
    </row>
    <row r="438">
      <c r="A438" t="inlineStr">
        <is>
          <t>Opera Lounge</t>
        </is>
      </c>
      <c r="C438" t="inlineStr">
        <is>
          <t>HAIR SALON</t>
        </is>
      </c>
      <c r="D438" t="inlineStr">
        <is>
          <t>Carrer de Mallorca, 193, Eixample, 08036 Barcelona, Spain</t>
        </is>
      </c>
      <c r="F438">
        <f>+34 931 42 18 02</f>
        <v/>
      </c>
      <c r="H438" t="inlineStr">
        <is>
          <t>Pending</t>
        </is>
      </c>
    </row>
    <row r="439">
      <c r="A439" t="inlineStr">
        <is>
          <t>Organic Hair Spa by Lucile Piccolini</t>
        </is>
      </c>
      <c r="C439" t="inlineStr">
        <is>
          <t>HAIR SALON</t>
        </is>
      </c>
      <c r="D439" t="inlineStr">
        <is>
          <t>Carrer de Bailèn, 45, Eixample, 08010 Barcelona, Spain</t>
        </is>
      </c>
      <c r="F439">
        <f>+34 691 61 77 45</f>
        <v/>
      </c>
      <c r="H439" t="inlineStr">
        <is>
          <t>Pending</t>
        </is>
      </c>
    </row>
    <row r="440">
      <c r="A440" t="inlineStr">
        <is>
          <t>Orgánicamente Ecohair Peluquería</t>
        </is>
      </c>
      <c r="C440" t="inlineStr">
        <is>
          <t>HAIR SALON</t>
        </is>
      </c>
      <c r="D440" t="inlineStr">
        <is>
          <t>Carrer del Comte d'Urgell, 171, Local 4, Eixample, 08036 Barcelona, Spain</t>
        </is>
      </c>
      <c r="F440">
        <f>+34 658 59 07 53</f>
        <v/>
      </c>
      <c r="H440" t="inlineStr">
        <is>
          <t>Pending</t>
        </is>
      </c>
    </row>
    <row r="441">
      <c r="A441" t="inlineStr">
        <is>
          <t>Osteópata Masajista Acupuntura - Toñi Ruiz</t>
        </is>
      </c>
      <c r="C441" t="inlineStr">
        <is>
          <t>HAIR SALON</t>
        </is>
      </c>
      <c r="D441" t="inlineStr">
        <is>
          <t>Av. d'Europa, 171, 08907 L'Hospitalet de Llobregat, Barcelona, Spain</t>
        </is>
      </c>
      <c r="F441">
        <f>+34 932 63 08 10</f>
        <v/>
      </c>
      <c r="H441" t="inlineStr">
        <is>
          <t>Pending</t>
        </is>
      </c>
    </row>
    <row r="442">
      <c r="A442" t="inlineStr">
        <is>
          <t>Oussman Barber Shop | barbería barcelona | La mejor barbería de Barcelona</t>
        </is>
      </c>
      <c r="C442" t="inlineStr">
        <is>
          <t>HAIR SALON</t>
        </is>
      </c>
      <c r="D442" t="inlineStr">
        <is>
          <t>Carrer de Sant Pau, 100, Ciutat Vella, 08001 Barcelona, Spain</t>
        </is>
      </c>
      <c r="F442">
        <f>+34 674 34 50 26</f>
        <v/>
      </c>
      <c r="H442" t="inlineStr">
        <is>
          <t>Pending</t>
        </is>
      </c>
    </row>
    <row r="443">
      <c r="A443" t="inlineStr">
        <is>
          <t>PALACE BARBER SANTS / PLAZA DEL CENTRO</t>
        </is>
      </c>
      <c r="C443" t="inlineStr">
        <is>
          <t>HAIR SALON</t>
        </is>
      </c>
      <c r="D443" t="inlineStr">
        <is>
          <t>Carrer del Vallespir, 81, Sants-Montjuïc, 08014 Barcelona, Spain</t>
        </is>
      </c>
      <c r="F443">
        <f>+34 931 44 89 17</f>
        <v/>
      </c>
      <c r="H443" t="inlineStr">
        <is>
          <t>Pending</t>
        </is>
      </c>
    </row>
    <row r="444">
      <c r="A444" t="inlineStr">
        <is>
          <t>PEINARTE PELUQUERÍA</t>
        </is>
      </c>
      <c r="C444" t="inlineStr">
        <is>
          <t>HAIR SALON</t>
        </is>
      </c>
      <c r="D444" t="inlineStr">
        <is>
          <t>Carrer de la Pobla de Lillet, 1, Les Corts, 08028 Barcelona, Spain</t>
        </is>
      </c>
      <c r="F444">
        <f>+34 607 88 39 67</f>
        <v/>
      </c>
      <c r="H444" t="inlineStr">
        <is>
          <t>Pending</t>
        </is>
      </c>
    </row>
    <row r="445">
      <c r="A445" t="inlineStr">
        <is>
          <t>PELUKING BARBER SHOP</t>
        </is>
      </c>
      <c r="C445" t="inlineStr">
        <is>
          <t>HAIR SALON</t>
        </is>
      </c>
      <c r="D445" t="inlineStr">
        <is>
          <t>Esq.Mont, Avinguda del Torrent Gornal, 78, 08904 L'Hospitalet de Llobregat, Barcelona, Spain</t>
        </is>
      </c>
      <c r="F445">
        <f>+34 600 02 54 89</f>
        <v/>
      </c>
      <c r="H445" t="inlineStr">
        <is>
          <t>Pending</t>
        </is>
      </c>
    </row>
    <row r="446">
      <c r="A446" t="inlineStr">
        <is>
          <t>PELUQUERIA AGARD BCN</t>
        </is>
      </c>
      <c r="C446" t="inlineStr">
        <is>
          <t>HAIR SALON</t>
        </is>
      </c>
      <c r="D446" t="inlineStr">
        <is>
          <t>Carrer del Comte Borrell, 8, local 5, Eixample, 08015 Barcelona, Spain</t>
        </is>
      </c>
      <c r="F446">
        <f>+34 935 13 71 90</f>
        <v/>
      </c>
      <c r="H446" t="inlineStr">
        <is>
          <t>Pending</t>
        </is>
      </c>
    </row>
    <row r="447">
      <c r="A447" t="inlineStr">
        <is>
          <t>PELUQUERIA BARBERIA Rocky</t>
        </is>
      </c>
      <c r="C447" t="inlineStr">
        <is>
          <t>HAIR SALON</t>
        </is>
      </c>
      <c r="D447" t="inlineStr">
        <is>
          <t>Carrer d'Entença, 15, Eixample, 08015 Barcelona, Spain</t>
        </is>
      </c>
      <c r="F447">
        <f>+34 631 12 34 77</f>
        <v/>
      </c>
      <c r="H447" t="inlineStr">
        <is>
          <t>Pending</t>
        </is>
      </c>
    </row>
    <row r="448">
      <c r="A448" t="inlineStr">
        <is>
          <t>PELUQUERÍA UNISEX ÓSCAR.</t>
        </is>
      </c>
      <c r="C448" t="inlineStr">
        <is>
          <t>HAIR SALON</t>
        </is>
      </c>
      <c r="D448" t="inlineStr">
        <is>
          <t>Avinguda d'Isabel la Catòlica, 77, 08906 L'Hospitalet de Llobregat, Barcelona, Spain</t>
        </is>
      </c>
      <c r="H448" t="inlineStr">
        <is>
          <t>Pending</t>
        </is>
      </c>
    </row>
    <row r="449">
      <c r="A449" t="inlineStr">
        <is>
          <t>PERRUQUERIA NOVA IL·LUSIÓ</t>
        </is>
      </c>
      <c r="C449" t="inlineStr">
        <is>
          <t>HAIR SALON</t>
        </is>
      </c>
      <c r="D449" t="inlineStr">
        <is>
          <t>Carrer de Manila, 59, Les Corts, 08034 Barcelona, Spain</t>
        </is>
      </c>
      <c r="F449">
        <f>+34 937 04 55 59</f>
        <v/>
      </c>
      <c r="H449" t="inlineStr">
        <is>
          <t>Pending</t>
        </is>
      </c>
    </row>
    <row r="450">
      <c r="A450" t="inlineStr">
        <is>
          <t>PERRUQUERS Rosa Giménez UNI-SEX.</t>
        </is>
      </c>
      <c r="C450" t="inlineStr">
        <is>
          <t>HAIR SALON</t>
        </is>
      </c>
      <c r="D450" t="inlineStr">
        <is>
          <t>Carrer de Pau Sans, 25, 08901 L'Hospitalet de Llobregat, Barcelona, Spain</t>
        </is>
      </c>
      <c r="F450">
        <f>+34 933 38 59 11</f>
        <v/>
      </c>
      <c r="H450" t="inlineStr">
        <is>
          <t>Pending</t>
        </is>
      </c>
    </row>
    <row r="451">
      <c r="A451" t="inlineStr">
        <is>
          <t>POSH Saló de bellesa - Barcelona</t>
        </is>
      </c>
      <c r="C451" t="inlineStr">
        <is>
          <t>HAIR SALON</t>
        </is>
      </c>
      <c r="D451" t="inlineStr">
        <is>
          <t>Passatge de Marimon, 23, Sarrià-Sant Gervasi, 08021 Barcelona, Spain</t>
        </is>
      </c>
      <c r="F451">
        <f>+34 722 61 11 73</f>
        <v/>
      </c>
      <c r="H451" t="inlineStr">
        <is>
          <t>Pending</t>
        </is>
      </c>
    </row>
    <row r="452">
      <c r="A452" t="inlineStr">
        <is>
          <t>PRO.KERATIN</t>
        </is>
      </c>
      <c r="C452" t="inlineStr">
        <is>
          <t>HAIR SALON</t>
        </is>
      </c>
      <c r="D452" t="inlineStr">
        <is>
          <t>Carrer de Mallorca, 41, local 2, Eixample, 08029 Barcelona, Spain</t>
        </is>
      </c>
      <c r="E452" t="inlineStr">
        <is>
          <t>https://www.instagram.com/_pro.keratin_/?igshid=MzRlODBiNWFlZA==</t>
        </is>
      </c>
      <c r="F452">
        <f>+34 671 20 86 10</f>
        <v/>
      </c>
      <c r="H452" t="inlineStr">
        <is>
          <t>Pending</t>
        </is>
      </c>
    </row>
    <row r="453">
      <c r="A453" t="inlineStr">
        <is>
          <t>Palace Barber | Barberia i Perruqueria a Les Corts</t>
        </is>
      </c>
      <c r="C453" t="inlineStr">
        <is>
          <t>HAIR SALON</t>
        </is>
      </c>
      <c r="D453" t="inlineStr">
        <is>
          <t>Carrer de Mejía Lequerica, 24, Les Corts, 08028 Barcelona, Spain</t>
        </is>
      </c>
      <c r="F453">
        <f>+34 933 39 18 03</f>
        <v/>
      </c>
      <c r="H453" t="inlineStr">
        <is>
          <t>Pending</t>
        </is>
      </c>
    </row>
    <row r="454">
      <c r="A454" t="inlineStr">
        <is>
          <t>Paradise Salón</t>
        </is>
      </c>
      <c r="C454" t="inlineStr">
        <is>
          <t>HAIR SALON</t>
        </is>
      </c>
      <c r="D454" t="inlineStr">
        <is>
          <t>Carrer de l'Aprestadora, 65, 08902 L'Hospitalet de Llobregat, Barcelona, Spain</t>
        </is>
      </c>
      <c r="F454">
        <f>+34 932 96 64 79</f>
        <v/>
      </c>
      <c r="H454" t="inlineStr">
        <is>
          <t>Pending</t>
        </is>
      </c>
    </row>
    <row r="455">
      <c r="A455" t="inlineStr">
        <is>
          <t>Paul's Barber Club</t>
        </is>
      </c>
      <c r="C455" t="inlineStr">
        <is>
          <t>HAIR SALON</t>
        </is>
      </c>
      <c r="D455" t="inlineStr">
        <is>
          <t>Carrer de Roger de Flor, 216, Eixample, 08013 Barcelona, Spain</t>
        </is>
      </c>
      <c r="F455">
        <f>+34 934 57 98 46</f>
        <v/>
      </c>
      <c r="G455" t="inlineStr">
        <is>
          <t>help.es@booksy.com</t>
        </is>
      </c>
      <c r="H455" t="inlineStr">
        <is>
          <t>Pending</t>
        </is>
      </c>
    </row>
    <row r="456">
      <c r="A456" t="inlineStr">
        <is>
          <t>Pedralbes Clinic</t>
        </is>
      </c>
      <c r="C456" t="inlineStr">
        <is>
          <t>HAIR SALON</t>
        </is>
      </c>
      <c r="D456" t="inlineStr">
        <is>
          <t>Passeig de Manuel Girona, 14, bajos 2, Les Corts, 08034 Barcelona, Spain</t>
        </is>
      </c>
      <c r="E456" t="inlineStr">
        <is>
          <t>https://pedralbesclinic.com/</t>
        </is>
      </c>
      <c r="F456">
        <f>+34 622 66 55 59</f>
        <v/>
      </c>
      <c r="H456" t="inlineStr">
        <is>
          <t>Pending</t>
        </is>
      </c>
    </row>
    <row r="457">
      <c r="A457" t="inlineStr">
        <is>
          <t>PeluPelos</t>
        </is>
      </c>
      <c r="C457" t="inlineStr">
        <is>
          <t>HAIR SALON</t>
        </is>
      </c>
      <c r="D457" t="inlineStr">
        <is>
          <t>Passatge dels Escudellers, n°3, Ciutat Vella, 08002 Barcelona, Spain</t>
        </is>
      </c>
      <c r="F457">
        <f>+34 931 71 39 29</f>
        <v/>
      </c>
      <c r="H457" t="inlineStr">
        <is>
          <t>Pending</t>
        </is>
      </c>
    </row>
    <row r="458">
      <c r="A458" t="inlineStr">
        <is>
          <t>Peluqueria B&amp;M Unisex</t>
        </is>
      </c>
      <c r="C458" t="inlineStr">
        <is>
          <t>HAIR SALON</t>
        </is>
      </c>
      <c r="D458" t="inlineStr">
        <is>
          <t>Carrer de la Maladeta, 15, 08906 Esplugues de Llobregat, Barcelona, Spain</t>
        </is>
      </c>
      <c r="F458">
        <f>+34 931 89 68 39</f>
        <v/>
      </c>
      <c r="H458" t="inlineStr">
        <is>
          <t>Pending</t>
        </is>
      </c>
    </row>
    <row r="459">
      <c r="A459" t="inlineStr">
        <is>
          <t>Peluqueria BOCÚ · El mejor Salón de Barcelona para Balayages, Mechas &amp; Rubios</t>
        </is>
      </c>
      <c r="C459" t="inlineStr">
        <is>
          <t>HAIR SALON</t>
        </is>
      </c>
      <c r="D459" t="inlineStr">
        <is>
          <t>Salón de Peluqueria Bocú, Carrer de Rocafort, 35, Eixample, 08015 Barcelona, Spain</t>
        </is>
      </c>
      <c r="F459">
        <f>+34 933 25 58 99</f>
        <v/>
      </c>
      <c r="H459" t="inlineStr">
        <is>
          <t>Pending</t>
        </is>
      </c>
    </row>
    <row r="460">
      <c r="A460" t="inlineStr">
        <is>
          <t>Peluqueria Barberia deste 1927</t>
        </is>
      </c>
      <c r="C460" t="inlineStr">
        <is>
          <t>HAIR SALON</t>
        </is>
      </c>
      <c r="D460" t="inlineStr">
        <is>
          <t>Gran Via de les Corts Catalanes, 588, Eixample, 08011 Barcelona, Spain</t>
        </is>
      </c>
      <c r="F460">
        <f>+34 688 21 25 03</f>
        <v/>
      </c>
      <c r="H460" t="inlineStr">
        <is>
          <t>Pending</t>
        </is>
      </c>
    </row>
    <row r="461">
      <c r="A461" t="inlineStr">
        <is>
          <t>Peluqueria Clara</t>
        </is>
      </c>
      <c r="C461" t="inlineStr">
        <is>
          <t>HAIR SALON</t>
        </is>
      </c>
      <c r="D461" t="inlineStr">
        <is>
          <t>Carrer de la Creu dels Molers, 8, Sants-Montjuïc, 08004 Barcelona, Spain</t>
        </is>
      </c>
      <c r="F461">
        <f>+34 627 39 80 05</f>
        <v/>
      </c>
      <c r="H461" t="inlineStr">
        <is>
          <t>Pending</t>
        </is>
      </c>
    </row>
    <row r="462">
      <c r="A462" t="inlineStr">
        <is>
          <t>Peluqueria Ecológica JUEGO DE PEINES</t>
        </is>
      </c>
      <c r="C462" t="inlineStr">
        <is>
          <t>HAIR SALON</t>
        </is>
      </c>
      <c r="D462" t="inlineStr">
        <is>
          <t>Y Sabate 6 La Peluquería Vegana de L'Hospitalet, Plaça de Milagros Consarnau i Sabaté, Local 7, 08902 L'Hospitalet de Llobregat, Barcelona, Spain</t>
        </is>
      </c>
      <c r="F462">
        <f>+34 936 05 68 13</f>
        <v/>
      </c>
      <c r="H462" t="inlineStr">
        <is>
          <t>Pending</t>
        </is>
      </c>
    </row>
    <row r="463">
      <c r="A463" t="inlineStr">
        <is>
          <t>Peluqueria Hair Salon</t>
        </is>
      </c>
      <c r="C463" t="inlineStr">
        <is>
          <t>HAIR SALON</t>
        </is>
      </c>
      <c r="D463" t="inlineStr">
        <is>
          <t>Carrer de Rocafort, 11, Eixample, 08015 Barcelona, Spain</t>
        </is>
      </c>
      <c r="F463">
        <f>+34 674 21 64 20</f>
        <v/>
      </c>
      <c r="H463" t="inlineStr">
        <is>
          <t>Pending</t>
        </is>
      </c>
    </row>
    <row r="464">
      <c r="A464" t="inlineStr">
        <is>
          <t>Peluqueria ICUS espai sostenible</t>
        </is>
      </c>
      <c r="C464" t="inlineStr">
        <is>
          <t>HAIR SALON</t>
        </is>
      </c>
      <c r="D464" t="inlineStr">
        <is>
          <t>C/ de Muntaner, 59, Eixample, 08011 Barcelona, Spain</t>
        </is>
      </c>
      <c r="F464">
        <f>+34 623 03 93 63</f>
        <v/>
      </c>
      <c r="H464" t="inlineStr">
        <is>
          <t>Pending</t>
        </is>
      </c>
    </row>
    <row r="465">
      <c r="A465" t="inlineStr">
        <is>
          <t>Peluqueria Imagen</t>
        </is>
      </c>
      <c r="C465" t="inlineStr">
        <is>
          <t>HAIR SALON</t>
        </is>
      </c>
      <c r="D465" t="inlineStr">
        <is>
          <t>Carrer del Roser, 34, Sants-Montjuïc, 08004 Barcelona, Spain</t>
        </is>
      </c>
      <c r="F465">
        <f>+34 934 41 16 67</f>
        <v/>
      </c>
      <c r="H465" t="inlineStr">
        <is>
          <t>Pending</t>
        </is>
      </c>
    </row>
    <row r="466">
      <c r="A466" t="inlineStr">
        <is>
          <t>Peluqueria Modern Cut</t>
        </is>
      </c>
      <c r="C466" t="inlineStr">
        <is>
          <t>HAIR SALON</t>
        </is>
      </c>
      <c r="D466" t="inlineStr">
        <is>
          <t>Avinguda de Can Serra, 31, 08906 L'Hospitalet de Llobregat, Barcelona, Spain</t>
        </is>
      </c>
      <c r="F466">
        <f>+34 935 12 20 37</f>
        <v/>
      </c>
      <c r="H466" t="inlineStr">
        <is>
          <t>Pending</t>
        </is>
      </c>
    </row>
    <row r="467">
      <c r="A467" t="inlineStr">
        <is>
          <t>Peluqueria Nou Styl</t>
        </is>
      </c>
      <c r="C467" t="inlineStr">
        <is>
          <t>HAIR SALON</t>
        </is>
      </c>
      <c r="D467" t="inlineStr">
        <is>
          <t>Carrer de Vila i Vilà, 74, Sants-Montjuïc, 08004 Barcelona, Spain</t>
        </is>
      </c>
      <c r="F467">
        <f>+34 934 41 19 50</f>
        <v/>
      </c>
      <c r="H467" t="inlineStr">
        <is>
          <t>Pending</t>
        </is>
      </c>
    </row>
    <row r="468">
      <c r="A468" t="inlineStr">
        <is>
          <t>Peluqueria Roots Hair Club</t>
        </is>
      </c>
      <c r="C468" t="inlineStr">
        <is>
          <t>HAIR SALON</t>
        </is>
      </c>
      <c r="D468" t="inlineStr">
        <is>
          <t>Carrer de Viladomat, 54, Eixample, 08015 Barcelona, Spain</t>
        </is>
      </c>
      <c r="F468">
        <f>+34 930 07 34 64</f>
        <v/>
      </c>
      <c r="H468" t="inlineStr">
        <is>
          <t>Pending</t>
        </is>
      </c>
    </row>
    <row r="469">
      <c r="A469" t="inlineStr">
        <is>
          <t>Peluqueria Unisex Eva Guillamon Seneca -</t>
        </is>
      </c>
      <c r="C469" t="inlineStr">
        <is>
          <t>HAIR SALON</t>
        </is>
      </c>
      <c r="D469" t="inlineStr">
        <is>
          <t>Carrer de Sèneca, 19, Gràcia, 08006 Barcelona, Spain</t>
        </is>
      </c>
      <c r="F469">
        <f>+34 932 17 64 00</f>
        <v/>
      </c>
      <c r="H469" t="inlineStr">
        <is>
          <t>Pending</t>
        </is>
      </c>
    </row>
    <row r="470">
      <c r="A470" t="inlineStr">
        <is>
          <t>Peluqueria Virgínia Perruquers</t>
        </is>
      </c>
      <c r="C470" t="inlineStr">
        <is>
          <t>HAIR SALON</t>
        </is>
      </c>
      <c r="D470" t="inlineStr">
        <is>
          <t>Carrer d'Olzinelles, 22, Sants-Montjuïc, 08014 Barcelona, Spain</t>
        </is>
      </c>
      <c r="F470">
        <f>+34 620 21 10 23</f>
        <v/>
      </c>
      <c r="H470" t="inlineStr">
        <is>
          <t>Pending</t>
        </is>
      </c>
    </row>
    <row r="471">
      <c r="A471" t="inlineStr">
        <is>
          <t>Peluquería Barcelona</t>
        </is>
      </c>
      <c r="C471" t="inlineStr">
        <is>
          <t>HAIR SALON</t>
        </is>
      </c>
      <c r="D471" t="inlineStr">
        <is>
          <t>C/ de Muntaner, 292, Sarrià-Sant Gervasi, 08021 Barcelona, Spain</t>
        </is>
      </c>
      <c r="F471">
        <f>+34 656 50 34 73</f>
        <v/>
      </c>
      <c r="H471" t="inlineStr">
        <is>
          <t>Pending</t>
        </is>
      </c>
    </row>
    <row r="472">
      <c r="A472" t="inlineStr">
        <is>
          <t>Peluquería Cut Cut</t>
        </is>
      </c>
      <c r="C472" t="inlineStr">
        <is>
          <t>HAIR SALON</t>
        </is>
      </c>
      <c r="D472" t="inlineStr">
        <is>
          <t>Carrer del Comte Borrell, 155, Eixample, 08015 Barcelona, Spain</t>
        </is>
      </c>
      <c r="F472">
        <f>+34 934 51 08 10</f>
        <v/>
      </c>
      <c r="H472" t="inlineStr">
        <is>
          <t>Pending</t>
        </is>
      </c>
    </row>
    <row r="473">
      <c r="A473" t="inlineStr">
        <is>
          <t>Peluquería Emily stylos unisex</t>
        </is>
      </c>
      <c r="C473" t="inlineStr">
        <is>
          <t>HAIR SALON</t>
        </is>
      </c>
      <c r="D473" t="inlineStr">
        <is>
          <t>Carrer d' Amadeu Vives, 53, 08906 L'Hospitalet de Llobregat, Barcelona, Spain</t>
        </is>
      </c>
      <c r="F473">
        <f>+34 674 23 74 13</f>
        <v/>
      </c>
      <c r="H473" t="inlineStr">
        <is>
          <t>Pending</t>
        </is>
      </c>
    </row>
    <row r="474">
      <c r="A474" t="inlineStr">
        <is>
          <t>Peluquería Fusion Beauty</t>
        </is>
      </c>
      <c r="C474" t="inlineStr">
        <is>
          <t>HAIR SALON</t>
        </is>
      </c>
      <c r="D474" t="inlineStr">
        <is>
          <t>Carrer de Floridablanca, 73, Eixample, 08015 Barcelona, Spain</t>
        </is>
      </c>
      <c r="E474" t="inlineStr">
        <is>
          <t>https://fusionbeauty.es/</t>
        </is>
      </c>
      <c r="F474">
        <f>+34 625 78 65 89</f>
        <v/>
      </c>
      <c r="H474" t="inlineStr">
        <is>
          <t>Pending</t>
        </is>
      </c>
    </row>
    <row r="475">
      <c r="A475" t="inlineStr">
        <is>
          <t>Peluquería Hombres Perfect Hairstyle</t>
        </is>
      </c>
      <c r="C475" t="inlineStr">
        <is>
          <t>HAIR SALON</t>
        </is>
      </c>
      <c r="D475" t="inlineStr">
        <is>
          <t>Carrer de la Riera Blanca, 131, Sants-Montjuïc, 08028 Barcelona, Spain</t>
        </is>
      </c>
      <c r="F475">
        <f>+34 631 30 30 33</f>
        <v/>
      </c>
      <c r="H475" t="inlineStr">
        <is>
          <t>Pending</t>
        </is>
      </c>
    </row>
    <row r="476">
      <c r="A476" t="inlineStr">
        <is>
          <t>Peluquería Imperio Salón</t>
        </is>
      </c>
      <c r="C476" t="inlineStr">
        <is>
          <t>HAIR SALON</t>
        </is>
      </c>
      <c r="D476" t="inlineStr">
        <is>
          <t>Carrer de Béjar, 73, Sants-Montjuïc, 08014 Barcelona, Spain</t>
        </is>
      </c>
      <c r="F476">
        <f>+34 603 15 15 55</f>
        <v/>
      </c>
      <c r="H476" t="inlineStr">
        <is>
          <t>Pending</t>
        </is>
      </c>
    </row>
    <row r="477">
      <c r="A477" t="inlineStr">
        <is>
          <t>Peluquería Loan</t>
        </is>
      </c>
      <c r="C477" t="inlineStr">
        <is>
          <t>HAIR SALON</t>
        </is>
      </c>
      <c r="D477" t="inlineStr">
        <is>
          <t>Carrer de Sants, 431, Sants-Montjuïc, 08028 Barcelona, Spain</t>
        </is>
      </c>
      <c r="F477">
        <f>+34 934 49 80 22</f>
        <v/>
      </c>
      <c r="G477" t="inlineStr">
        <is>
          <t>jannegandaragg@gmail.com</t>
        </is>
      </c>
      <c r="H477" t="inlineStr">
        <is>
          <t>Pending</t>
        </is>
      </c>
    </row>
    <row r="478">
      <c r="A478" t="inlineStr">
        <is>
          <t>Peluquería Lola C&amp;M</t>
        </is>
      </c>
      <c r="C478" t="inlineStr">
        <is>
          <t>HAIR SALON</t>
        </is>
      </c>
      <c r="D478" t="inlineStr">
        <is>
          <t>Av. de Mistral, 42, Eixample, 08015 Barcelona, Spain</t>
        </is>
      </c>
      <c r="F478">
        <f>+34 934 23 03 27</f>
        <v/>
      </c>
      <c r="H478" t="inlineStr">
        <is>
          <t>Pending</t>
        </is>
      </c>
    </row>
    <row r="479">
      <c r="A479" t="inlineStr">
        <is>
          <t>Peluquería Millennium 2000</t>
        </is>
      </c>
      <c r="C479" t="inlineStr">
        <is>
          <t>HAIR SALON</t>
        </is>
      </c>
      <c r="D479" t="inlineStr">
        <is>
          <t>Carrer de l'Emigrant, bajo 2-4, 08906 L'Hospitalet de Llobregat, Barcelona, Spain</t>
        </is>
      </c>
      <c r="F479">
        <f>+34 933 37 25 26</f>
        <v/>
      </c>
      <c r="H479" t="inlineStr">
        <is>
          <t>Pending</t>
        </is>
      </c>
    </row>
    <row r="480">
      <c r="A480" t="inlineStr">
        <is>
          <t>Peluquería Organic Soul haircare Londres</t>
        </is>
      </c>
      <c r="C480" t="inlineStr">
        <is>
          <t>HAIR SALON</t>
        </is>
      </c>
      <c r="D480" t="inlineStr">
        <is>
          <t>Carrer de Londres, 52, Eixample, 08036 Barcelona, Spain</t>
        </is>
      </c>
      <c r="F480">
        <f>+34 934 19 29 95</f>
        <v/>
      </c>
      <c r="H480" t="inlineStr">
        <is>
          <t>Pending</t>
        </is>
      </c>
    </row>
    <row r="481">
      <c r="A481" t="inlineStr">
        <is>
          <t>Peluquería Pilar Tomàs Unisex</t>
        </is>
      </c>
      <c r="C481" t="inlineStr">
        <is>
          <t>HAIR SALON</t>
        </is>
      </c>
      <c r="D481" t="inlineStr">
        <is>
          <t>Carrer de Roger, 2, Sants-Montjuïc, 08028 Barcelona, Spain</t>
        </is>
      </c>
      <c r="F481">
        <f>+34 619 10 53 01</f>
        <v/>
      </c>
      <c r="G481" t="inlineStr">
        <is>
          <t>info@pilartomasunisex.com</t>
        </is>
      </c>
      <c r="H481" t="inlineStr">
        <is>
          <t>Pending</t>
        </is>
      </c>
    </row>
    <row r="482">
      <c r="A482" t="inlineStr">
        <is>
          <t>Peluquería Rocío González</t>
        </is>
      </c>
      <c r="C482" t="inlineStr">
        <is>
          <t>HAIR SALON</t>
        </is>
      </c>
      <c r="D482" t="inlineStr">
        <is>
          <t>Carrer del Comte Borrell, 229, Eixample, 08029 Barcelona, Spain</t>
        </is>
      </c>
      <c r="F482">
        <f>+34 934 39 52 56</f>
        <v/>
      </c>
      <c r="H482" t="inlineStr">
        <is>
          <t>Pending</t>
        </is>
      </c>
    </row>
    <row r="483">
      <c r="A483" t="inlineStr">
        <is>
          <t>Peluquería Romero</t>
        </is>
      </c>
      <c r="C483" t="inlineStr">
        <is>
          <t>HAIR SALON</t>
        </is>
      </c>
      <c r="D483" t="inlineStr">
        <is>
          <t>C. de Portbou, 39, Sants-Montjuïc, 08028 Barcelona, Spain</t>
        </is>
      </c>
      <c r="F483">
        <f>+34 933 30 86 85</f>
        <v/>
      </c>
      <c r="H483" t="inlineStr">
        <is>
          <t>Pending</t>
        </is>
      </c>
    </row>
    <row r="484">
      <c r="A484" t="inlineStr">
        <is>
          <t>Peluquería Román'S</t>
        </is>
      </c>
      <c r="C484" t="inlineStr">
        <is>
          <t>HAIR SALON</t>
        </is>
      </c>
      <c r="D484" t="inlineStr">
        <is>
          <t>Carrer de Josep Prats, 30, 08901 L'Hospitalet de Llobregat, Barcelona, Spain</t>
        </is>
      </c>
      <c r="F484">
        <f>+34 933 37 67 98</f>
        <v/>
      </c>
      <c r="H484" t="inlineStr">
        <is>
          <t>Pending</t>
        </is>
      </c>
    </row>
    <row r="485">
      <c r="A485" t="inlineStr">
        <is>
          <t>Peluquería Salón de Belleza Jessi.</t>
        </is>
      </c>
      <c r="C485" t="inlineStr">
        <is>
          <t>HAIR SALON</t>
        </is>
      </c>
      <c r="D485" t="inlineStr">
        <is>
          <t>Carrer de la Pubilla Cases, 29, 08906 L'Hospitalet de Llobregat, Barcelona, Spain</t>
        </is>
      </c>
      <c r="F485">
        <f>+34 934 38 28 66</f>
        <v/>
      </c>
      <c r="H485" t="inlineStr">
        <is>
          <t>Pending</t>
        </is>
      </c>
    </row>
    <row r="486">
      <c r="A486" t="inlineStr">
        <is>
          <t>Peluquería Stilo</t>
        </is>
      </c>
      <c r="C486" t="inlineStr">
        <is>
          <t>HAIR SALON</t>
        </is>
      </c>
      <c r="D486" t="inlineStr">
        <is>
          <t>Carrer de Marcel·lí Esquius, 71, 08906 L'Hospitalet de Llobregat, Barcelona, Spain</t>
        </is>
      </c>
      <c r="F486">
        <f>+34 934 37 86 04</f>
        <v/>
      </c>
      <c r="H486" t="inlineStr">
        <is>
          <t>Pending</t>
        </is>
      </c>
    </row>
    <row r="487">
      <c r="A487" t="inlineStr">
        <is>
          <t>Peluquería Urbans Estilistas (Urgell, 23)</t>
        </is>
      </c>
      <c r="C487" t="inlineStr">
        <is>
          <t>HAIR SALON</t>
        </is>
      </c>
      <c r="D487" t="inlineStr">
        <is>
          <t>Carrer del Comte d'Urgell, 23, Eixample, 08011 Barcelona, Spain</t>
        </is>
      </c>
      <c r="F487">
        <f>+34 934 26 92 21</f>
        <v/>
      </c>
      <c r="H487" t="inlineStr">
        <is>
          <t>Pending</t>
        </is>
      </c>
    </row>
    <row r="488">
      <c r="A488" t="inlineStr">
        <is>
          <t>Peluquería corte Omar</t>
        </is>
      </c>
      <c r="C488" t="inlineStr">
        <is>
          <t>HAIR SALON</t>
        </is>
      </c>
      <c r="D488" t="inlineStr">
        <is>
          <t>Carrer de Cabanes, 38, Sants-Montjuïc, 08004 Barcelona, Spain</t>
        </is>
      </c>
      <c r="F488">
        <f>+34 603 54 69 00</f>
        <v/>
      </c>
      <c r="H488" t="inlineStr">
        <is>
          <t>Pending</t>
        </is>
      </c>
    </row>
    <row r="489">
      <c r="A489" t="inlineStr">
        <is>
          <t>Peluquería y Centro de Estética Londres Esthetic Private en Barcelona</t>
        </is>
      </c>
      <c r="C489" t="inlineStr">
        <is>
          <t>HAIR SALON</t>
        </is>
      </c>
      <c r="D489" t="inlineStr">
        <is>
          <t>Carrer de Londres, 65, Eixample, 08036 Barcelona, Spain</t>
        </is>
      </c>
      <c r="F489">
        <f>+34 604 91 68 11</f>
        <v/>
      </c>
      <c r="H489" t="inlineStr">
        <is>
          <t>Pending</t>
        </is>
      </c>
    </row>
    <row r="490">
      <c r="A490" t="inlineStr">
        <is>
          <t>Peluquería y Estética Oshen</t>
        </is>
      </c>
      <c r="C490" t="inlineStr">
        <is>
          <t>HAIR SALON</t>
        </is>
      </c>
      <c r="D490" t="inlineStr">
        <is>
          <t>Carrer de Jacint Verdaguer, 15, 08902 L'Hospitalet de Llobregat, Barcelona, Spain</t>
        </is>
      </c>
      <c r="F490">
        <f>+34 932 96 52 71</f>
        <v/>
      </c>
      <c r="G490" t="inlineStr">
        <is>
          <t>oshen-estetic@hotmail.com</t>
        </is>
      </c>
      <c r="H490" t="inlineStr">
        <is>
          <t>Pending</t>
        </is>
      </c>
    </row>
    <row r="491">
      <c r="A491" t="inlineStr">
        <is>
          <t>Perruqueria</t>
        </is>
      </c>
      <c r="C491" t="inlineStr">
        <is>
          <t>HAIR SALON</t>
        </is>
      </c>
      <c r="D491" t="inlineStr">
        <is>
          <t>Carrer del Consell de Cent, 80, Eixample, 08015 Barcelona, Spain</t>
        </is>
      </c>
      <c r="F491">
        <f>+34 618 76 83 02</f>
        <v/>
      </c>
      <c r="H491" t="inlineStr">
        <is>
          <t>Pending</t>
        </is>
      </c>
    </row>
    <row r="492">
      <c r="A492" t="inlineStr">
        <is>
          <t>Perruqueria &amp; Estètica - Gina Cabrera</t>
        </is>
      </c>
      <c r="C492" t="inlineStr">
        <is>
          <t>HAIR SALON</t>
        </is>
      </c>
      <c r="D492" t="inlineStr">
        <is>
          <t>Carrer del Tenor Masini, 1, 3 Local 2, Sants-Montjuïc, 08028 Barcelona, Spain</t>
        </is>
      </c>
      <c r="F492">
        <f>+34 602 37 40 73</f>
        <v/>
      </c>
      <c r="H492" t="inlineStr">
        <is>
          <t>Pending</t>
        </is>
      </c>
    </row>
    <row r="493">
      <c r="A493" t="inlineStr">
        <is>
          <t>Perruqueria Alberto Ruiz</t>
        </is>
      </c>
      <c r="C493" t="inlineStr">
        <is>
          <t>HAIR SALON</t>
        </is>
      </c>
      <c r="D493" t="inlineStr">
        <is>
          <t>Carrer de Calàbria, 39, Eixample, 08015 Barcelona, Spain</t>
        </is>
      </c>
      <c r="F493">
        <f>+34 934 23 28 79</f>
        <v/>
      </c>
      <c r="H493" t="inlineStr">
        <is>
          <t>Pending</t>
        </is>
      </c>
    </row>
    <row r="494">
      <c r="A494" t="inlineStr">
        <is>
          <t>Perruqueria Amjad</t>
        </is>
      </c>
      <c r="C494" t="inlineStr">
        <is>
          <t>HAIR SALON</t>
        </is>
      </c>
      <c r="D494" t="inlineStr">
        <is>
          <t>Carrer d'En Botella, 4, 6, Ciutat Vella, 08001 Barcelona, Spain</t>
        </is>
      </c>
      <c r="F494">
        <f>+34 632 71 79 63</f>
        <v/>
      </c>
      <c r="H494" t="inlineStr">
        <is>
          <t>Pending</t>
        </is>
      </c>
    </row>
    <row r="495">
      <c r="A495" t="inlineStr">
        <is>
          <t>Perruqueria Amma</t>
        </is>
      </c>
      <c r="C495" t="inlineStr">
        <is>
          <t>HAIR SALON</t>
        </is>
      </c>
      <c r="D495" t="inlineStr">
        <is>
          <t>Carrer Ample, 9, Ciutat Vella, 08002 Barcelona, Spain</t>
        </is>
      </c>
      <c r="F495">
        <f>+34 933 10 75 46</f>
        <v/>
      </c>
      <c r="H495" t="inlineStr">
        <is>
          <t>Pending</t>
        </is>
      </c>
    </row>
    <row r="496">
      <c r="A496" t="inlineStr">
        <is>
          <t>Perruqueria Boris</t>
        </is>
      </c>
      <c r="C496" t="inlineStr">
        <is>
          <t>HAIR SALON</t>
        </is>
      </c>
      <c r="D496" t="inlineStr">
        <is>
          <t>Carrer de Begur, 38, Sants-Montjuïc, 08028 Barcelona, Spain</t>
        </is>
      </c>
      <c r="F496">
        <f>+34 633 01 46 03</f>
        <v/>
      </c>
      <c r="H496" t="inlineStr">
        <is>
          <t>Pending</t>
        </is>
      </c>
    </row>
    <row r="497">
      <c r="A497" t="inlineStr">
        <is>
          <t>Perruqueria Bot Hair</t>
        </is>
      </c>
      <c r="C497" t="inlineStr">
        <is>
          <t>HAIR SALON</t>
        </is>
      </c>
      <c r="D497" t="inlineStr">
        <is>
          <t>Carrer d'En Bot, 4, Ciutat Vella, 08002 Barcelona, Spain</t>
        </is>
      </c>
      <c r="F497">
        <f>+34 933 42 63 39</f>
        <v/>
      </c>
      <c r="H497" t="inlineStr">
        <is>
          <t>Pending</t>
        </is>
      </c>
    </row>
    <row r="498">
      <c r="A498" t="inlineStr">
        <is>
          <t>Perruqueria Català</t>
        </is>
      </c>
      <c r="C498" t="inlineStr">
        <is>
          <t>HAIR SALON</t>
        </is>
      </c>
      <c r="D498" t="inlineStr">
        <is>
          <t>Pl. d'Osca, 11, Sants-Montjuïc, 08014 Barcelona, Spain</t>
        </is>
      </c>
      <c r="F498">
        <f>+34 602 00 61 77</f>
        <v/>
      </c>
      <c r="H498" t="inlineStr">
        <is>
          <t>Pending</t>
        </is>
      </c>
    </row>
    <row r="499">
      <c r="A499" t="inlineStr">
        <is>
          <t>Perruqueria Cuca Lelé</t>
        </is>
      </c>
      <c r="C499" t="inlineStr">
        <is>
          <t>HAIR SALON</t>
        </is>
      </c>
      <c r="D499" t="inlineStr">
        <is>
          <t>Carrer d'Olzinelles, 111, Sants-Montjuïc, 08014 Barcelona, Spain</t>
        </is>
      </c>
      <c r="F499">
        <f>+34 623 59 97 96</f>
        <v/>
      </c>
      <c r="H499" t="inlineStr">
        <is>
          <t>Pending</t>
        </is>
      </c>
    </row>
    <row r="500">
      <c r="A500" t="inlineStr">
        <is>
          <t>Perruqueria Ecològica Pepelu Raval</t>
        </is>
      </c>
      <c r="C500" t="inlineStr">
        <is>
          <t>HAIR SALON</t>
        </is>
      </c>
      <c r="D500" t="inlineStr">
        <is>
          <t>Carrer de Sant Antoni Abat, 46, Ciutat Vella, 08001 Barcelona, Spain</t>
        </is>
      </c>
      <c r="F500">
        <f>+34 934 42 27 44</f>
        <v/>
      </c>
      <c r="H500" t="inlineStr">
        <is>
          <t>Pending</t>
        </is>
      </c>
    </row>
    <row r="501">
      <c r="A501" t="inlineStr">
        <is>
          <t>Perruqueria Ekares Estilistes</t>
        </is>
      </c>
      <c r="C501" t="inlineStr">
        <is>
          <t>HAIR SALON</t>
        </is>
      </c>
      <c r="D501" t="inlineStr">
        <is>
          <t>Carrer de Bailèn, 134, Eixample, 08009 Barcelona, Spain</t>
        </is>
      </c>
      <c r="F501">
        <f>+34 932 08 25 79</f>
        <v/>
      </c>
      <c r="G501" t="inlineStr">
        <is>
          <t>info@ekarestilistes.com</t>
        </is>
      </c>
      <c r="H501" t="inlineStr">
        <is>
          <t>Pending</t>
        </is>
      </c>
    </row>
    <row r="502">
      <c r="A502" t="inlineStr">
        <is>
          <t>Perruqueria Emilio</t>
        </is>
      </c>
      <c r="C502" t="inlineStr">
        <is>
          <t>HAIR SALON</t>
        </is>
      </c>
      <c r="D502" t="inlineStr">
        <is>
          <t>Passatge d'Andalusia, Sants-Montjuïc, 08014 Barcelona, Spain</t>
        </is>
      </c>
      <c r="F502">
        <f>+34 616 18 69 84</f>
        <v/>
      </c>
      <c r="H502" t="inlineStr">
        <is>
          <t>Pending</t>
        </is>
      </c>
    </row>
    <row r="503">
      <c r="A503" t="inlineStr">
        <is>
          <t>Perruqueria Fontanet</t>
        </is>
      </c>
      <c r="C503" t="inlineStr">
        <is>
          <t>HAIR SALON</t>
        </is>
      </c>
      <c r="D503" t="inlineStr">
        <is>
          <t>Gran Via de les Corts Catalanes, 661, Eixample, 08010 Barcelona, Spain</t>
        </is>
      </c>
      <c r="F503">
        <f>+34 932 32 69 15</f>
        <v/>
      </c>
      <c r="G503" t="inlineStr">
        <is>
          <t>perruqueriafontanet@gmail.com</t>
        </is>
      </c>
      <c r="H503" t="inlineStr">
        <is>
          <t>Pending</t>
        </is>
      </c>
    </row>
    <row r="504">
      <c r="A504" t="inlineStr">
        <is>
          <t>Perruqueria Galerie Salon</t>
        </is>
      </c>
      <c r="C504" t="inlineStr">
        <is>
          <t>HAIR SALON</t>
        </is>
      </c>
      <c r="D504" t="inlineStr">
        <is>
          <t>Carrer de Casp, 68, Local 4, Eixample, 08010 Barcelona, Spain</t>
        </is>
      </c>
      <c r="F504">
        <f>+34 934 81 47 24</f>
        <v/>
      </c>
      <c r="H504" t="inlineStr">
        <is>
          <t>Pending</t>
        </is>
      </c>
    </row>
    <row r="505">
      <c r="A505" t="inlineStr">
        <is>
          <t>Perruqueria Gina Saló de Bellesa</t>
        </is>
      </c>
      <c r="C505" t="inlineStr">
        <is>
          <t>HAIR SALON</t>
        </is>
      </c>
      <c r="D505" t="inlineStr">
        <is>
          <t>Carrer de Calàbria, 122, Eixample, 08015 Barcelona, Spain</t>
        </is>
      </c>
      <c r="F505">
        <f>+34 626 11 17 59</f>
        <v/>
      </c>
      <c r="H505" t="inlineStr">
        <is>
          <t>Pending</t>
        </is>
      </c>
    </row>
    <row r="506">
      <c r="A506" t="inlineStr">
        <is>
          <t>Perruqueria Home Dona Nen Edgar Avendaño</t>
        </is>
      </c>
      <c r="C506" t="inlineStr">
        <is>
          <t>HAIR SALON</t>
        </is>
      </c>
      <c r="D506" t="inlineStr">
        <is>
          <t>Carrer de Sepúlveda, 60, Eixample, 08015 Barcelona, Spain</t>
        </is>
      </c>
      <c r="F506">
        <f>+34 631 83 67 10</f>
        <v/>
      </c>
      <c r="H506" t="inlineStr">
        <is>
          <t>Pending</t>
        </is>
      </c>
    </row>
    <row r="507">
      <c r="A507" t="inlineStr">
        <is>
          <t>Perruqueria Hospitalet - Marta’s Colors - Marta Cruz García</t>
        </is>
      </c>
      <c r="C507" t="inlineStr">
        <is>
          <t>HAIR SALON</t>
        </is>
      </c>
      <c r="D507" t="inlineStr">
        <is>
          <t>Carrer de Rodés, 18, 08901 L'Hospitalet de Llobregat, Barcelona, Spain</t>
        </is>
      </c>
      <c r="F507">
        <f>+34 934 37 72 69</f>
        <v/>
      </c>
      <c r="G507" t="inlineStr">
        <is>
          <t>help.es@booksy.com</t>
        </is>
      </c>
      <c r="H507" t="inlineStr">
        <is>
          <t>Pending</t>
        </is>
      </c>
    </row>
    <row r="508">
      <c r="A508" t="inlineStr">
        <is>
          <t>Perruqueria K-Lorey</t>
        </is>
      </c>
      <c r="C508" t="inlineStr">
        <is>
          <t>HAIR SALON</t>
        </is>
      </c>
      <c r="D508" t="inlineStr">
        <is>
          <t>Carrer Occident, 37, 08904 L'Hospitalet de Llobregat, Barcelona, Spain</t>
        </is>
      </c>
      <c r="F508">
        <f>+34 934 48 91 15</f>
        <v/>
      </c>
      <c r="H508" t="inlineStr">
        <is>
          <t>Pending</t>
        </is>
      </c>
    </row>
    <row r="509">
      <c r="A509" t="inlineStr">
        <is>
          <t>Perruqueria Luis</t>
        </is>
      </c>
      <c r="C509" t="inlineStr">
        <is>
          <t>HAIR SALON</t>
        </is>
      </c>
      <c r="D509" t="inlineStr">
        <is>
          <t>Perruqueria Luis, Carrer de la Independència, 97, 08902 L'Hospitalet de Llobregat, Barcelona, Spain</t>
        </is>
      </c>
      <c r="E509" t="inlineStr">
        <is>
          <t>http://perruquerialuis.online/</t>
        </is>
      </c>
      <c r="F509">
        <f>+34 932 63 32 65</f>
        <v/>
      </c>
      <c r="H509" t="inlineStr">
        <is>
          <t>Pending</t>
        </is>
      </c>
    </row>
    <row r="510">
      <c r="A510" t="inlineStr">
        <is>
          <t>Perruqueria Madrazo .</t>
        </is>
      </c>
      <c r="C510" t="inlineStr">
        <is>
          <t>HAIR SALON</t>
        </is>
      </c>
      <c r="D510" t="inlineStr">
        <is>
          <t>Carrer dels Madrazo, 72, Sarrià-Sant Gervasi, 08006 Barcelona, Spain</t>
        </is>
      </c>
      <c r="F510">
        <f>+34 631 36 09 91</f>
        <v/>
      </c>
      <c r="H510" t="inlineStr">
        <is>
          <t>Pending</t>
        </is>
      </c>
    </row>
    <row r="511">
      <c r="A511" t="inlineStr">
        <is>
          <t>Perruqueria Maria Alvarez Beauty Saló</t>
        </is>
      </c>
      <c r="C511" t="inlineStr">
        <is>
          <t>HAIR SALON</t>
        </is>
      </c>
      <c r="D511" t="inlineStr">
        <is>
          <t>Avinguda de Tomàs Giménez, 5, local 2, 08906 L'Hospitalet de Llobregat, Barcelona, Spain</t>
        </is>
      </c>
      <c r="F511">
        <f>+34 930 38 21 73</f>
        <v/>
      </c>
      <c r="H511" t="inlineStr">
        <is>
          <t>Pending</t>
        </is>
      </c>
    </row>
    <row r="512">
      <c r="A512" t="inlineStr">
        <is>
          <t>Perruqueria Masculina Pako Moreno💈</t>
        </is>
      </c>
      <c r="C512" t="inlineStr">
        <is>
          <t>HAIR SALON</t>
        </is>
      </c>
      <c r="D512" t="inlineStr">
        <is>
          <t>Av. de Mistral, 69, Eixample, 08015 Barcelona, Spain</t>
        </is>
      </c>
      <c r="F512">
        <f>+34 935 32 89 47</f>
        <v/>
      </c>
      <c r="H512" t="inlineStr">
        <is>
          <t>Pending</t>
        </is>
      </c>
    </row>
    <row r="513">
      <c r="A513" t="inlineStr">
        <is>
          <t>Perruqueria Mildred</t>
        </is>
      </c>
      <c r="C513" t="inlineStr">
        <is>
          <t>HAIR SALON</t>
        </is>
      </c>
      <c r="D513" t="inlineStr">
        <is>
          <t>Carrer Llobregat, 14, 08904 L'Hospitalet de Llobregat, Barcelona, Spain</t>
        </is>
      </c>
      <c r="F513">
        <f>+34 934 47 01 06</f>
        <v/>
      </c>
      <c r="G513" t="inlineStr">
        <is>
          <t>mildrecastillo1@hotmail.com</t>
        </is>
      </c>
      <c r="H513" t="inlineStr">
        <is>
          <t>Pending</t>
        </is>
      </c>
    </row>
    <row r="514">
      <c r="A514" t="inlineStr">
        <is>
          <t>Perruqueria Mingo💈</t>
        </is>
      </c>
      <c r="C514" t="inlineStr">
        <is>
          <t>HAIR SALON</t>
        </is>
      </c>
      <c r="D514" t="inlineStr">
        <is>
          <t>Carrer del Moianès, 71, Sants-Montjuïc, 08014 Barcelona, Spain</t>
        </is>
      </c>
      <c r="F514">
        <f>+34 659 91 38 09</f>
        <v/>
      </c>
      <c r="H514" t="inlineStr">
        <is>
          <t>Pending</t>
        </is>
      </c>
    </row>
    <row r="515">
      <c r="A515" t="inlineStr">
        <is>
          <t>Perruqueria Natural</t>
        </is>
      </c>
      <c r="C515" t="inlineStr">
        <is>
          <t>HAIR SALON</t>
        </is>
      </c>
      <c r="D515" t="inlineStr">
        <is>
          <t>Carrer de Floridablanca, 69, Eixample, 08015 Barcelona, Spain</t>
        </is>
      </c>
      <c r="F515">
        <f>+34 934 26 51 68</f>
        <v/>
      </c>
      <c r="H515" t="inlineStr">
        <is>
          <t>Pending</t>
        </is>
      </c>
    </row>
    <row r="516">
      <c r="A516" t="inlineStr">
        <is>
          <t>Perruqueria Platins</t>
        </is>
      </c>
      <c r="C516" t="inlineStr">
        <is>
          <t>HAIR SALON</t>
        </is>
      </c>
      <c r="D516" t="inlineStr">
        <is>
          <t>Carrer del Tinent Flomesta, 5, Sants-Montjuïc, 08028 Barcelona, Spain</t>
        </is>
      </c>
      <c r="F516">
        <f>+34 934 90 25 58</f>
        <v/>
      </c>
      <c r="H516" t="inlineStr">
        <is>
          <t>Pending</t>
        </is>
      </c>
    </row>
    <row r="517">
      <c r="A517" t="inlineStr">
        <is>
          <t>Perruqueria Premium</t>
        </is>
      </c>
      <c r="C517" t="inlineStr">
        <is>
          <t>HAIR SALON</t>
        </is>
      </c>
      <c r="D517" t="inlineStr">
        <is>
          <t>Carrer de l'Energia, 1, Sants-Montjuïc, 08038 Barcelona, Spain</t>
        </is>
      </c>
      <c r="H517" t="inlineStr">
        <is>
          <t>Pending</t>
        </is>
      </c>
    </row>
    <row r="518">
      <c r="A518" t="inlineStr">
        <is>
          <t>Perruqueria ROJO</t>
        </is>
      </c>
      <c r="C518" t="inlineStr">
        <is>
          <t>HAIR SALON</t>
        </is>
      </c>
      <c r="D518" t="inlineStr">
        <is>
          <t>Carrer de Sant Pere Més Alt, 66, Ciutat Vella, 08003 Barcelona, Spain</t>
        </is>
      </c>
      <c r="F518">
        <f>+34 931 72 98 57</f>
        <v/>
      </c>
      <c r="H518" t="inlineStr">
        <is>
          <t>Pending</t>
        </is>
      </c>
    </row>
    <row r="519">
      <c r="A519" t="inlineStr">
        <is>
          <t>Perruqueria SP Style</t>
        </is>
      </c>
      <c r="C519" t="inlineStr">
        <is>
          <t>HAIR SALON</t>
        </is>
      </c>
      <c r="D519" t="inlineStr">
        <is>
          <t>Avinguda de la Granvia de l’Hospitalet, 13, 08908 L'Hospitalet de Llobregat, Barcelona, Spain</t>
        </is>
      </c>
      <c r="F519">
        <f>+34 930 04 04 75</f>
        <v/>
      </c>
      <c r="H519" t="inlineStr">
        <is>
          <t>Pending</t>
        </is>
      </c>
    </row>
    <row r="520">
      <c r="A520" t="inlineStr">
        <is>
          <t>Perruqueria Santos</t>
        </is>
      </c>
      <c r="C520" t="inlineStr">
        <is>
          <t>HAIR SALON</t>
        </is>
      </c>
      <c r="D520" t="inlineStr">
        <is>
          <t>Carrer de les Moles, 12, Ciutat Vella, 08002 Barcelona, Spain</t>
        </is>
      </c>
      <c r="F520">
        <f>+34 933 17 54 87</f>
        <v/>
      </c>
      <c r="H520" t="inlineStr">
        <is>
          <t>Pending</t>
        </is>
      </c>
    </row>
    <row r="521">
      <c r="A521" t="inlineStr">
        <is>
          <t>Perruqueria Shibuya Barcelona</t>
        </is>
      </c>
      <c r="C521" t="inlineStr">
        <is>
          <t>HAIR SALON</t>
        </is>
      </c>
      <c r="D521" t="inlineStr">
        <is>
          <t>Carrer de Mallorca, 61, Eixample, 08029 Barcelona, Spain</t>
        </is>
      </c>
      <c r="F521">
        <f>+34 665 30 60 90</f>
        <v/>
      </c>
      <c r="H521" t="inlineStr">
        <is>
          <t>Pending</t>
        </is>
      </c>
    </row>
    <row r="522">
      <c r="A522" t="inlineStr">
        <is>
          <t>Perruqueria Toñi Barcelona</t>
        </is>
      </c>
      <c r="C522" t="inlineStr">
        <is>
          <t>HAIR SALON</t>
        </is>
      </c>
      <c r="D522" t="inlineStr">
        <is>
          <t>Carrer de n'Amargós, 2, Ciutat Vella, 08002 Barcelona, Spain</t>
        </is>
      </c>
      <c r="F522">
        <f>+34 933 17 17 46</f>
        <v/>
      </c>
      <c r="H522" t="inlineStr">
        <is>
          <t>Pending</t>
        </is>
      </c>
    </row>
    <row r="523">
      <c r="A523" t="inlineStr">
        <is>
          <t>Perruqueria Umair Barcelona</t>
        </is>
      </c>
      <c r="C523" t="inlineStr">
        <is>
          <t>HAIR SALON</t>
        </is>
      </c>
      <c r="D523" t="inlineStr">
        <is>
          <t>Carrer del Tigre, 35, Ciutat Vella, 08001 Barcelona, Spain</t>
        </is>
      </c>
      <c r="F523">
        <f>+34 662 29 85 44</f>
        <v/>
      </c>
      <c r="H523" t="inlineStr">
        <is>
          <t>Pending</t>
        </is>
      </c>
    </row>
    <row r="524">
      <c r="A524" t="inlineStr">
        <is>
          <t>Perruqueria Unisex 9estil</t>
        </is>
      </c>
      <c r="C524" t="inlineStr">
        <is>
          <t>HAIR SALON</t>
        </is>
      </c>
      <c r="D524" t="inlineStr">
        <is>
          <t>Carrer del Guadiana, 30, Sants-Montjuïc, 08014 Barcelona, Spain</t>
        </is>
      </c>
      <c r="F524">
        <f>+34 933 32 16 94</f>
        <v/>
      </c>
      <c r="H524" t="inlineStr">
        <is>
          <t>Pending</t>
        </is>
      </c>
    </row>
    <row r="525">
      <c r="A525" t="inlineStr">
        <is>
          <t>Perruqueria Unisex Nelly</t>
        </is>
      </c>
      <c r="C525" t="inlineStr">
        <is>
          <t>HAIR SALON</t>
        </is>
      </c>
      <c r="D525" t="inlineStr">
        <is>
          <t>Carrer de la Riera Blanca, 14-16, 08903 L'Hospitalet de Llobregat, Barcelona, Spain</t>
        </is>
      </c>
      <c r="F525">
        <f>+34 931 80 38 17</f>
        <v/>
      </c>
      <c r="H525" t="inlineStr">
        <is>
          <t>Pending</t>
        </is>
      </c>
    </row>
    <row r="526">
      <c r="A526" t="inlineStr">
        <is>
          <t>Perruqueria Unisex Rosali</t>
        </is>
      </c>
      <c r="C526" t="inlineStr">
        <is>
          <t>HAIR SALON</t>
        </is>
      </c>
      <c r="D526" t="inlineStr">
        <is>
          <t>C. de Sicília, 188, Eixample, 08013 Barcelona, Spain</t>
        </is>
      </c>
      <c r="F526">
        <f>+34 617 82 62 22</f>
        <v/>
      </c>
      <c r="H526" t="inlineStr">
        <is>
          <t>Pending</t>
        </is>
      </c>
    </row>
    <row r="527">
      <c r="A527" t="inlineStr">
        <is>
          <t>Perruqueria Unisex ender i magalis</t>
        </is>
      </c>
      <c r="C527" t="inlineStr">
        <is>
          <t>HAIR SALON</t>
        </is>
      </c>
      <c r="D527" t="inlineStr">
        <is>
          <t>Carrer de la Renclusa, 66, 08905 L'Hospitalet de Llobregat, Barcelona, Spain</t>
        </is>
      </c>
      <c r="F527">
        <f>+34 664 82 61 06</f>
        <v/>
      </c>
      <c r="H527" t="inlineStr">
        <is>
          <t>Pending</t>
        </is>
      </c>
    </row>
    <row r="528">
      <c r="A528" t="inlineStr">
        <is>
          <t>Perruqueria Veronique</t>
        </is>
      </c>
      <c r="C528" t="inlineStr">
        <is>
          <t>HAIR SALON</t>
        </is>
      </c>
      <c r="D528" t="inlineStr">
        <is>
          <t>Carrer d'Entença, 34, Eixample, 08015 Barcelona, Spain</t>
        </is>
      </c>
      <c r="F528">
        <f>+34 677 11 24 69</f>
        <v/>
      </c>
      <c r="H528" t="inlineStr">
        <is>
          <t>Pending</t>
        </is>
      </c>
    </row>
    <row r="529">
      <c r="A529" t="inlineStr">
        <is>
          <t>Perruqueria Yolanda Lopez</t>
        </is>
      </c>
      <c r="C529" t="inlineStr">
        <is>
          <t>HAIR SALON</t>
        </is>
      </c>
      <c r="D529" t="inlineStr">
        <is>
          <t>Carrer de Gavà, 62, Sants-Montjuïc, 08014 Barcelona, Spain</t>
        </is>
      </c>
      <c r="F529">
        <f>+34 931 41 20 30</f>
        <v/>
      </c>
      <c r="H529" t="inlineStr">
        <is>
          <t>Pending</t>
        </is>
      </c>
    </row>
    <row r="530">
      <c r="A530" t="inlineStr">
        <is>
          <t>Perruqueria i Barberia Blázquez</t>
        </is>
      </c>
      <c r="C530" t="inlineStr">
        <is>
          <t>HAIR SALON</t>
        </is>
      </c>
      <c r="D530" t="inlineStr">
        <is>
          <t>Carrer de la Diputació, 171, Local 1º A, Eixample, 08011 Barcelona, Spain</t>
        </is>
      </c>
      <c r="F530">
        <f>+34 664 53 69 30</f>
        <v/>
      </c>
      <c r="H530" t="inlineStr">
        <is>
          <t>Pending</t>
        </is>
      </c>
    </row>
    <row r="531">
      <c r="A531" t="inlineStr">
        <is>
          <t>Perruqueria priper barbers</t>
        </is>
      </c>
      <c r="C531" t="inlineStr">
        <is>
          <t>HAIR SALON</t>
        </is>
      </c>
      <c r="D531" t="inlineStr">
        <is>
          <t>Carrer de Sant Pau, 115, Ciutat Vella, 08001 Barcelona, Spain</t>
        </is>
      </c>
      <c r="F531">
        <f>+34 631 63 19 28</f>
        <v/>
      </c>
      <c r="H531" t="inlineStr">
        <is>
          <t>Pending</t>
        </is>
      </c>
    </row>
    <row r="532">
      <c r="A532" t="inlineStr">
        <is>
          <t>Perruqueria unisex Kar&amp;Ver</t>
        </is>
      </c>
      <c r="C532" t="inlineStr">
        <is>
          <t>HAIR SALON</t>
        </is>
      </c>
      <c r="D532" t="inlineStr">
        <is>
          <t>Av. de Josep Tarradellas, 64, Eixample, 08029 Barcelona, Spain</t>
        </is>
      </c>
      <c r="F532">
        <f>+34 936 67 88 37</f>
        <v/>
      </c>
      <c r="H532" t="inlineStr">
        <is>
          <t>Pending</t>
        </is>
      </c>
    </row>
    <row r="533">
      <c r="A533" t="inlineStr">
        <is>
          <t>Perruqueria Àngel Mancebo</t>
        </is>
      </c>
      <c r="C533" t="inlineStr">
        <is>
          <t>HAIR SALON</t>
        </is>
      </c>
      <c r="D533" t="inlineStr">
        <is>
          <t>Carrer de Blai, 21, Sants-Montjuïc, 08004 Barcelona, Spain</t>
        </is>
      </c>
      <c r="F533">
        <f>+34 934 43 23 48</f>
        <v/>
      </c>
      <c r="H533" t="inlineStr">
        <is>
          <t>Pending</t>
        </is>
      </c>
    </row>
    <row r="534">
      <c r="A534" t="inlineStr">
        <is>
          <t>Perruquería MarcelPel Barcelona</t>
        </is>
      </c>
      <c r="C534" t="inlineStr">
        <is>
          <t>HAIR SALON</t>
        </is>
      </c>
      <c r="D534" t="inlineStr">
        <is>
          <t>Carrer de València, 247, Entresuelo Segunda, Eixample, 08007 Barcelona, Spain</t>
        </is>
      </c>
      <c r="F534">
        <f>+34 932 15 89 99</f>
        <v/>
      </c>
      <c r="G534" t="inlineStr">
        <is>
          <t>marcelpel@marcelpel.com</t>
        </is>
      </c>
      <c r="H534" t="inlineStr">
        <is>
          <t>Pending</t>
        </is>
      </c>
    </row>
    <row r="535">
      <c r="A535" t="inlineStr">
        <is>
          <t>Personal by Lourdes | Hair Salon Muntaner</t>
        </is>
      </c>
      <c r="C535" t="inlineStr">
        <is>
          <t>HAIR SALON</t>
        </is>
      </c>
      <c r="D535" t="inlineStr">
        <is>
          <t>C/ de Muntaner, 99, Eixample, 08036 Barcelona, Spain</t>
        </is>
      </c>
      <c r="F535">
        <f>+34 634 61 40 42</f>
        <v/>
      </c>
      <c r="H535" t="inlineStr">
        <is>
          <t>Pending</t>
        </is>
      </c>
    </row>
    <row r="536">
      <c r="A536" t="inlineStr">
        <is>
          <t>Picheo barbería</t>
        </is>
      </c>
      <c r="C536" t="inlineStr">
        <is>
          <t>HAIR SALON</t>
        </is>
      </c>
      <c r="D536" t="inlineStr">
        <is>
          <t>Carrer Ample, 14, Ciutat Vella, 08002 Barcelona, Spain</t>
        </is>
      </c>
      <c r="F536">
        <f>+34 644 18 41 16</f>
        <v/>
      </c>
      <c r="H536" t="inlineStr">
        <is>
          <t>Pending</t>
        </is>
      </c>
    </row>
    <row r="537">
      <c r="A537" t="inlineStr">
        <is>
          <t>Pink Ladies - Peluquería y estética</t>
        </is>
      </c>
      <c r="C537" t="inlineStr">
        <is>
          <t>HAIR SALON</t>
        </is>
      </c>
      <c r="D537" t="inlineStr">
        <is>
          <t>Carrer de Rocafort, 109, Eixample, 08015 Barcelona, Spain</t>
        </is>
      </c>
      <c r="F537">
        <f>+34 936 81 69 19</f>
        <v/>
      </c>
      <c r="H537" t="inlineStr">
        <is>
          <t>Pending</t>
        </is>
      </c>
    </row>
    <row r="538">
      <c r="A538" t="inlineStr">
        <is>
          <t>Piú Eleganza - Barberia i Assessoria d'Imatge Masculina</t>
        </is>
      </c>
      <c r="C538" t="inlineStr">
        <is>
          <t>HAIR SALON</t>
        </is>
      </c>
      <c r="D538" t="inlineStr">
        <is>
          <t>47 Bis, Av. de Madrid, Les Corts, 08028 Barcelona, Spain</t>
        </is>
      </c>
      <c r="F538">
        <f>+34 671 39 78 47</f>
        <v/>
      </c>
      <c r="G538" t="inlineStr">
        <is>
          <t>help.es@booksy.com</t>
        </is>
      </c>
      <c r="H538" t="inlineStr">
        <is>
          <t>Pending</t>
        </is>
      </c>
    </row>
    <row r="539">
      <c r="A539" t="inlineStr">
        <is>
          <t>Polopelo Perruqueria</t>
        </is>
      </c>
      <c r="C539" t="inlineStr">
        <is>
          <t>HAIR SALON</t>
        </is>
      </c>
      <c r="D539" t="inlineStr">
        <is>
          <t>Carrer de la Diputació, 188, Apartamento 141, Eixample, 08011 Barcelona, Spain</t>
        </is>
      </c>
      <c r="F539">
        <f>+34 658 77 76 14</f>
        <v/>
      </c>
      <c r="H539" t="inlineStr">
        <is>
          <t>Pending</t>
        </is>
      </c>
    </row>
    <row r="540">
      <c r="A540" t="inlineStr">
        <is>
          <t>Porter BCN Barbershop</t>
        </is>
      </c>
      <c r="C540" t="inlineStr">
        <is>
          <t>HAIR SALON</t>
        </is>
      </c>
      <c r="D540" t="inlineStr">
        <is>
          <t>Av. Diagonal, 319, Eixample, 08009 Barcelona, Spain</t>
        </is>
      </c>
      <c r="F540">
        <f>+34 637 28 75 93</f>
        <v/>
      </c>
      <c r="H540" t="inlineStr">
        <is>
          <t>Pending</t>
        </is>
      </c>
    </row>
    <row r="541">
      <c r="A541" t="inlineStr">
        <is>
          <t>Posa't Wap@ Guinardó Peluquería y Estética</t>
        </is>
      </c>
      <c r="C541" t="inlineStr">
        <is>
          <t>HAIR SALON</t>
        </is>
      </c>
      <c r="D541" t="inlineStr">
        <is>
          <t>Carrer de los Castillejos, 374, Horta-Guinardó, 08025 Barcelona, Spain</t>
        </is>
      </c>
      <c r="E541" t="inlineStr">
        <is>
          <t>https://www.instagram.com/posatwapa/</t>
        </is>
      </c>
      <c r="F541">
        <f>+34 935 32 43 27</f>
        <v/>
      </c>
      <c r="H541" t="inlineStr">
        <is>
          <t>Pending</t>
        </is>
      </c>
    </row>
    <row r="542">
      <c r="A542" t="inlineStr">
        <is>
          <t>Premium Barber Studio</t>
        </is>
      </c>
      <c r="C542" t="inlineStr">
        <is>
          <t>HAIR SALON</t>
        </is>
      </c>
      <c r="D542" t="inlineStr">
        <is>
          <t>Carrer de Pardo, 59, local 5, Nou Barris, 08016 Barcelona, Spain</t>
        </is>
      </c>
      <c r="F542">
        <f>+34 934 49 78 59</f>
        <v/>
      </c>
      <c r="H542" t="inlineStr">
        <is>
          <t>Pending</t>
        </is>
      </c>
    </row>
    <row r="543">
      <c r="A543" t="inlineStr">
        <is>
          <t>Premium Salón &amp; Spa</t>
        </is>
      </c>
      <c r="C543" t="inlineStr">
        <is>
          <t>HAIR SALON</t>
        </is>
      </c>
      <c r="D543" t="inlineStr">
        <is>
          <t>Carrer de Pompeu Fabra, 37, 08302 Mataró, Barcelona, Spain</t>
        </is>
      </c>
      <c r="F543">
        <f>+34 931 72 34 13</f>
        <v/>
      </c>
      <c r="H543" t="inlineStr">
        <is>
          <t>Pending</t>
        </is>
      </c>
    </row>
    <row r="544">
      <c r="A544" t="inlineStr">
        <is>
          <t>Prieto Estilistes</t>
        </is>
      </c>
      <c r="C544" t="inlineStr">
        <is>
          <t>HAIR SALON</t>
        </is>
      </c>
      <c r="D544" t="inlineStr">
        <is>
          <t>Carrer Occident, 82, 08904 L'Hospitalet de Llobregat, Barcelona, Spain</t>
        </is>
      </c>
      <c r="F544">
        <f>+34 933 33 30 33</f>
        <v/>
      </c>
      <c r="H544" t="inlineStr">
        <is>
          <t>Pending</t>
        </is>
      </c>
    </row>
    <row r="545">
      <c r="A545" t="inlineStr">
        <is>
          <t>Private Studio - La Mejor Barberia de Barcelona</t>
        </is>
      </c>
      <c r="C545" t="inlineStr">
        <is>
          <t>HAIR SALON</t>
        </is>
      </c>
      <c r="D545" t="inlineStr">
        <is>
          <t>C/ de Muntaner, 172, Bjo 1, Eixample, 08036 Barcelona, Spain</t>
        </is>
      </c>
      <c r="F545">
        <f>+34 624 36 71 53</f>
        <v/>
      </c>
      <c r="G545" t="inlineStr">
        <is>
          <t>privatestudio2@gmail.com</t>
        </is>
      </c>
      <c r="H545" t="inlineStr">
        <is>
          <t>Pending</t>
        </is>
      </c>
    </row>
    <row r="546">
      <c r="A546" t="inlineStr">
        <is>
          <t>Promolook</t>
        </is>
      </c>
      <c r="C546" t="inlineStr">
        <is>
          <t>HAIR SALON</t>
        </is>
      </c>
      <c r="D546" t="inlineStr">
        <is>
          <t>Carrer de Mallorca, 125, Eixample, 08036 Barcelona, Spain</t>
        </is>
      </c>
      <c r="F546">
        <f>+34 934 61 95 46</f>
        <v/>
      </c>
      <c r="H546" t="inlineStr">
        <is>
          <t>Pending</t>
        </is>
      </c>
    </row>
    <row r="547">
      <c r="A547" t="inlineStr">
        <is>
          <t>Purificación Carda Estilistas</t>
        </is>
      </c>
      <c r="C547" t="inlineStr">
        <is>
          <t>HAIR SALON</t>
        </is>
      </c>
      <c r="D547" t="inlineStr">
        <is>
          <t>Plaça de Milagros Consarnau i Sabaté, 39, 08902 L'Hospitalet de Llobregat, Barcelona, Spain</t>
        </is>
      </c>
      <c r="F547">
        <f>+34 630 29 10 73</f>
        <v/>
      </c>
      <c r="H547" t="inlineStr">
        <is>
          <t>Pending</t>
        </is>
      </c>
    </row>
    <row r="548">
      <c r="A548" t="inlineStr">
        <is>
          <t>R-Beauty Style — Manicura y Pedicura • Pestañas Barcelona</t>
        </is>
      </c>
      <c r="C548" t="inlineStr">
        <is>
          <t>HAIR SALON</t>
        </is>
      </c>
      <c r="D548" t="inlineStr">
        <is>
          <t>Carrer de Calàbria, 204 Bis, Eixample, 08029 Barcelona, Spain</t>
        </is>
      </c>
      <c r="F548">
        <f>+34 664 58 15 65</f>
        <v/>
      </c>
      <c r="H548" t="inlineStr">
        <is>
          <t>Pending</t>
        </is>
      </c>
    </row>
    <row r="549">
      <c r="A549" t="inlineStr">
        <is>
          <t>Rafael de Freitas | Clínica</t>
        </is>
      </c>
      <c r="C549" t="inlineStr">
        <is>
          <t>HAIR SALON</t>
        </is>
      </c>
      <c r="D549" t="inlineStr">
        <is>
          <t>Carrer de Tuset, 34, Sarrià-Sant Gervasi, 08006 Barcelona, Spain</t>
        </is>
      </c>
      <c r="E549" t="inlineStr">
        <is>
          <t>https://www.clinicadefreitas.com/clinica-trasplante-capilar-en-barcelona/</t>
        </is>
      </c>
      <c r="F549">
        <f>+34 608 09 96 17</f>
        <v/>
      </c>
      <c r="H549" t="inlineStr">
        <is>
          <t>Pending</t>
        </is>
      </c>
    </row>
    <row r="550">
      <c r="A550" t="inlineStr">
        <is>
          <t>Raffel Pagès carrer Sants</t>
        </is>
      </c>
      <c r="C550" t="inlineStr">
        <is>
          <t>HAIR SALON</t>
        </is>
      </c>
      <c r="D550" t="inlineStr">
        <is>
          <t>Carrer de Sants, 319, Sants-Montjuïc, 08028 Barcelona, Spain</t>
        </is>
      </c>
      <c r="F550">
        <f>+34 934 32 56 04</f>
        <v/>
      </c>
      <c r="H550" t="inlineStr">
        <is>
          <t>Pending</t>
        </is>
      </c>
    </row>
    <row r="551">
      <c r="A551" t="inlineStr">
        <is>
          <t>Raffel Pagès | Peluquería Barcelona | Josep Tarradellas 37</t>
        </is>
      </c>
      <c r="C551" t="inlineStr">
        <is>
          <t>HAIR SALON</t>
        </is>
      </c>
      <c r="D551" t="inlineStr">
        <is>
          <t>Av. de Josep Tarradellas, 37, Sants-Montjuïc, 08029 Barcelona, Spain</t>
        </is>
      </c>
      <c r="F551">
        <f>+34 937 82 59 81</f>
        <v/>
      </c>
      <c r="H551" t="inlineStr">
        <is>
          <t>Pending</t>
        </is>
      </c>
    </row>
    <row r="552">
      <c r="A552" t="inlineStr">
        <is>
          <t>Raffel Pagés Europa</t>
        </is>
      </c>
      <c r="C552" t="inlineStr">
        <is>
          <t>HAIR SALON</t>
        </is>
      </c>
      <c r="D552" t="inlineStr">
        <is>
          <t>Carrer d'Europa, 22, Les Corts, 08028 Barcelona, Spain</t>
        </is>
      </c>
      <c r="F552">
        <f>+34 934 88 68 64</f>
        <v/>
      </c>
      <c r="H552" t="inlineStr">
        <is>
          <t>Pending</t>
        </is>
      </c>
    </row>
    <row r="553">
      <c r="A553" t="inlineStr">
        <is>
          <t>Rayan cosmetics</t>
        </is>
      </c>
      <c r="C553" t="inlineStr">
        <is>
          <t>HAIR SALON</t>
        </is>
      </c>
      <c r="D553" t="inlineStr">
        <is>
          <t>Carrer Pareto, 20, 08902 L'Hospitalet de Llobregat, Barcelona, Spain</t>
        </is>
      </c>
      <c r="F553">
        <f>+34 931 26 83 66</f>
        <v/>
      </c>
      <c r="H553" t="inlineStr">
        <is>
          <t>Pending</t>
        </is>
      </c>
    </row>
    <row r="554">
      <c r="A554" t="inlineStr">
        <is>
          <t>RegenElit Clinic | Medicina Estetica y Regenerativa | Sueroterapia| Especialistas en Cicatrices de Acné</t>
        </is>
      </c>
      <c r="C554" t="inlineStr">
        <is>
          <t>HAIR SALON</t>
        </is>
      </c>
      <c r="D554" t="inlineStr">
        <is>
          <t>Rambla de Catalunya, 66, piso 2 A, Eixample, 08007 Barcelona, Spain</t>
        </is>
      </c>
      <c r="E554" t="inlineStr">
        <is>
          <t>http://www.regenelit.com/</t>
        </is>
      </c>
      <c r="F554">
        <f>+34 600 69 31 65</f>
        <v/>
      </c>
      <c r="H554" t="inlineStr">
        <is>
          <t>Pending</t>
        </is>
      </c>
    </row>
    <row r="555">
      <c r="A555" t="inlineStr">
        <is>
          <t>Renato Remy Style Barcelona</t>
        </is>
      </c>
      <c r="C555" t="inlineStr">
        <is>
          <t>HAIR SALON</t>
        </is>
      </c>
      <c r="D555" t="inlineStr">
        <is>
          <t>Carrer de Còrsega, 45, Eixample, 08029 Barcelona, Spain</t>
        </is>
      </c>
      <c r="F555">
        <f>+34 722 78 47 31</f>
        <v/>
      </c>
      <c r="H555" t="inlineStr">
        <is>
          <t>Pending</t>
        </is>
      </c>
    </row>
    <row r="556">
      <c r="A556" t="inlineStr">
        <is>
          <t>Respira Oxhum</t>
        </is>
      </c>
      <c r="C556" t="inlineStr">
        <is>
          <t>HAIR SALON</t>
        </is>
      </c>
      <c r="D556" t="inlineStr">
        <is>
          <t>Carrer de Tavern, 3, Sarrià-Sant Gervasi, 08021 Barcelona, Spain</t>
        </is>
      </c>
      <c r="E556" t="inlineStr">
        <is>
          <t>https://respiraoxhum.com/</t>
        </is>
      </c>
      <c r="F556">
        <f>+34 931 14 58 50</f>
        <v/>
      </c>
      <c r="H556" t="inlineStr">
        <is>
          <t>Pending</t>
        </is>
      </c>
    </row>
    <row r="557">
      <c r="A557" t="inlineStr">
        <is>
          <t>Revlon</t>
        </is>
      </c>
      <c r="C557" t="inlineStr">
        <is>
          <t>HAIR SALON</t>
        </is>
      </c>
      <c r="D557" t="inlineStr">
        <is>
          <t>Av. Diagonal, 333, Eixample, 08037 Barcelona, Spain</t>
        </is>
      </c>
      <c r="F557">
        <f>+34 051563632</f>
        <v/>
      </c>
      <c r="H557" t="inlineStr">
        <is>
          <t>Pending</t>
        </is>
      </c>
    </row>
    <row r="558">
      <c r="A558" t="inlineStr">
        <is>
          <t>Rf Micropigmentacion El Prat</t>
        </is>
      </c>
      <c r="C558" t="inlineStr">
        <is>
          <t>HAIR SALON</t>
        </is>
      </c>
      <c r="D558" t="inlineStr">
        <is>
          <t>Carrer de Manuel Bertrand, 84, 08820 El Prat de Llobregat, Barcelona, Spain</t>
        </is>
      </c>
      <c r="E558" t="inlineStr">
        <is>
          <t>https://rfmicropigmentacion.com/</t>
        </is>
      </c>
      <c r="F558">
        <f>+34 930 46 49 60</f>
        <v/>
      </c>
      <c r="H558" t="inlineStr">
        <is>
          <t>Pending</t>
        </is>
      </c>
    </row>
    <row r="559">
      <c r="A559" t="inlineStr">
        <is>
          <t>Rf Micropigmentació El Prat</t>
        </is>
      </c>
      <c r="C559" t="inlineStr">
        <is>
          <t>HAIR SALON</t>
        </is>
      </c>
      <c r="D559" t="inlineStr">
        <is>
          <t>Carrer de Manuel Bertrand, 84, 08820 El Prat de Llobregat, Barcelona, Spain</t>
        </is>
      </c>
      <c r="E559" t="inlineStr">
        <is>
          <t>https://rfmicropigmentacion.com/</t>
        </is>
      </c>
      <c r="F559">
        <f>+34 930 46 49 60</f>
        <v/>
      </c>
      <c r="H559" t="inlineStr">
        <is>
          <t>Pending</t>
        </is>
      </c>
    </row>
    <row r="560">
      <c r="A560" t="inlineStr">
        <is>
          <t>Ribera 6 Hair Salon</t>
        </is>
      </c>
      <c r="C560" t="inlineStr">
        <is>
          <t>HAIR SALON</t>
        </is>
      </c>
      <c r="D560" t="inlineStr">
        <is>
          <t>Carrer de la Ribera, 6, Ciutat Vella, 08003 Barcelona, Spain</t>
        </is>
      </c>
      <c r="F560">
        <f>+34 933 19 75 59</f>
        <v/>
      </c>
      <c r="H560" t="inlineStr">
        <is>
          <t>Pending</t>
        </is>
      </c>
    </row>
    <row r="561">
      <c r="A561" t="inlineStr">
        <is>
          <t>Roi77 The Barber</t>
        </is>
      </c>
      <c r="C561" t="inlineStr">
        <is>
          <t>HAIR SALON</t>
        </is>
      </c>
      <c r="D561" t="inlineStr">
        <is>
          <t>Av. del Carrilet, 3, 08902 L'Hospitalet de Llobregat, Barcelona, Spain</t>
        </is>
      </c>
      <c r="F561">
        <f>+34 931 89 19 52</f>
        <v/>
      </c>
      <c r="H561" t="inlineStr">
        <is>
          <t>Pending</t>
        </is>
      </c>
    </row>
    <row r="562">
      <c r="A562" t="inlineStr">
        <is>
          <t>Rosa González Estilista</t>
        </is>
      </c>
      <c r="C562" t="inlineStr">
        <is>
          <t>HAIR SALON</t>
        </is>
      </c>
      <c r="D562" t="inlineStr">
        <is>
          <t>Carrer del Molí, 67, 08906 L'Hospitalet de Llobregat, Barcelona, Spain</t>
        </is>
      </c>
      <c r="F562">
        <f>+34 934 37 85 50</f>
        <v/>
      </c>
      <c r="G562" t="inlineStr">
        <is>
          <t>rosagoad@gmail.com</t>
        </is>
      </c>
      <c r="H562" t="inlineStr">
        <is>
          <t>Pending</t>
        </is>
      </c>
    </row>
    <row r="563">
      <c r="A563" t="inlineStr">
        <is>
          <t>Royal Oak Hair Salon</t>
        </is>
      </c>
      <c r="C563" t="inlineStr">
        <is>
          <t>HAIR SALON</t>
        </is>
      </c>
      <c r="D563" t="inlineStr">
        <is>
          <t>Carrer de Sant Pere Mitjà, 68, Ciutat Vella, 08003 Barcelona, Spain</t>
        </is>
      </c>
      <c r="F563">
        <f>+34 659 68 52 00</f>
        <v/>
      </c>
      <c r="G563" t="inlineStr">
        <is>
          <t>kyle@royaloakbcn.com</t>
        </is>
      </c>
      <c r="H563" t="inlineStr">
        <is>
          <t>Pending</t>
        </is>
      </c>
    </row>
    <row r="564">
      <c r="A564" t="inlineStr">
        <is>
          <t>Rulo</t>
        </is>
      </c>
      <c r="C564" t="inlineStr">
        <is>
          <t>HAIR SALON</t>
        </is>
      </c>
      <c r="D564" t="inlineStr">
        <is>
          <t>Carrer de Joaquín Costa, 52, Ciutat Vella, 08001 Barcelona, Spain</t>
        </is>
      </c>
      <c r="F564">
        <f>+34 931 85 62 15</f>
        <v/>
      </c>
      <c r="H564" t="inlineStr">
        <is>
          <t>Pending</t>
        </is>
      </c>
    </row>
    <row r="565">
      <c r="A565" t="inlineStr">
        <is>
          <t>Ruzafa Barber💈</t>
        </is>
      </c>
      <c r="C565" t="inlineStr">
        <is>
          <t>HAIR SALON</t>
        </is>
      </c>
      <c r="D565" t="inlineStr">
        <is>
          <t>Carrer de Rocafort, 76, Eixample, 08015 Barcelona, Spain</t>
        </is>
      </c>
      <c r="F565">
        <f>+34 934 23 57 52</f>
        <v/>
      </c>
      <c r="H565" t="inlineStr">
        <is>
          <t>Pending</t>
        </is>
      </c>
    </row>
    <row r="566">
      <c r="A566" t="inlineStr">
        <is>
          <t>Ràfols Perruquers</t>
        </is>
      </c>
      <c r="C566" t="inlineStr">
        <is>
          <t>HAIR SALON</t>
        </is>
      </c>
      <c r="D566" t="inlineStr">
        <is>
          <t>Carrer de Sant Jordi, 11, Sants-Montjuïc, 08028 Barcelona, Spain</t>
        </is>
      </c>
      <c r="F566">
        <f>+34 932 50 36 31</f>
        <v/>
      </c>
      <c r="G566" t="inlineStr">
        <is>
          <t>info@erafols.com</t>
        </is>
      </c>
      <c r="H566" t="inlineStr">
        <is>
          <t>Pending</t>
        </is>
      </c>
    </row>
    <row r="567">
      <c r="A567" t="inlineStr">
        <is>
          <t>SALÓN 223 - Peluquería en Barcelona</t>
        </is>
      </c>
      <c r="C567" t="inlineStr">
        <is>
          <t>HAIR SALON</t>
        </is>
      </c>
      <c r="D567" t="inlineStr">
        <is>
          <t>Carrer del Consell de Cent, 223, local 2, Eixample, 08011 Barcelona, Spain</t>
        </is>
      </c>
      <c r="F567">
        <f>+34 931 29 04 58</f>
        <v/>
      </c>
      <c r="H567" t="inlineStr">
        <is>
          <t>Pending</t>
        </is>
      </c>
    </row>
    <row r="568">
      <c r="A568" t="inlineStr">
        <is>
          <t>SC saló de bellesa</t>
        </is>
      </c>
      <c r="C568" t="inlineStr">
        <is>
          <t>HAIR SALON</t>
        </is>
      </c>
      <c r="D568" t="inlineStr">
        <is>
          <t>C/ de Muntaner, 94, Eixample, 08036 Barcelona, Spain</t>
        </is>
      </c>
      <c r="F568">
        <f>+34 655 44 47 04</f>
        <v/>
      </c>
      <c r="H568" t="inlineStr">
        <is>
          <t>Pending</t>
        </is>
      </c>
    </row>
    <row r="569">
      <c r="A569" t="inlineStr">
        <is>
          <t>SHARP BLENDZ BARBERSHOP BARCELONA</t>
        </is>
      </c>
      <c r="C569" t="inlineStr">
        <is>
          <t>HAIR SALON</t>
        </is>
      </c>
      <c r="D569" t="inlineStr">
        <is>
          <t>Carrer dels Tallers, 72, Ciutat Vella, 08001 Barcelona, Spain</t>
        </is>
      </c>
      <c r="F569">
        <f>+34 936 59 56 25</f>
        <v/>
      </c>
      <c r="H569" t="inlineStr">
        <is>
          <t>Pending</t>
        </is>
      </c>
    </row>
    <row r="570">
      <c r="A570" t="inlineStr">
        <is>
          <t>SK Style Barcelona</t>
        </is>
      </c>
      <c r="C570" t="inlineStr">
        <is>
          <t>HAIR SALON</t>
        </is>
      </c>
      <c r="D570" t="inlineStr">
        <is>
          <t>Carrer de Viladomat, 135, 3-2, Eixample, 08015 Barcelona, Spain</t>
        </is>
      </c>
      <c r="F570">
        <f>+34 934 52 14 60</f>
        <v/>
      </c>
      <c r="G570" t="inlineStr">
        <is>
          <t>salon@skstylebarcelona.com</t>
        </is>
      </c>
      <c r="H570" t="inlineStr">
        <is>
          <t>Pending</t>
        </is>
      </c>
    </row>
    <row r="571">
      <c r="A571" t="inlineStr">
        <is>
          <t>SOMOS</t>
        </is>
      </c>
      <c r="C571" t="inlineStr">
        <is>
          <t>HAIR SALON</t>
        </is>
      </c>
      <c r="D571" t="inlineStr">
        <is>
          <t>Rda. de Sant Pere, 52, Ático, Eixample, 08010 Barcelona, Spain</t>
        </is>
      </c>
      <c r="E571" t="inlineStr">
        <is>
          <t>https://somos.pro/</t>
        </is>
      </c>
      <c r="F571">
        <f>+34 613 00 14 15</f>
        <v/>
      </c>
      <c r="H571" t="inlineStr">
        <is>
          <t>Pending</t>
        </is>
      </c>
    </row>
    <row r="572">
      <c r="A572" t="inlineStr">
        <is>
          <t>SOUL BARCELONA Hairdressers</t>
        </is>
      </c>
      <c r="C572" t="inlineStr">
        <is>
          <t>HAIR SALON</t>
        </is>
      </c>
      <c r="D572" t="inlineStr">
        <is>
          <t>Carrer del Regent Mendieta, 4, Les Corts, 08028 Barcelona, Spain</t>
        </is>
      </c>
      <c r="F572">
        <f>+34 933 34 46 39</f>
        <v/>
      </c>
      <c r="H572" t="inlineStr">
        <is>
          <t>Pending</t>
        </is>
      </c>
    </row>
    <row r="573">
      <c r="A573" t="inlineStr">
        <is>
          <t>STREET BARBERSHOP</t>
        </is>
      </c>
      <c r="C573" t="inlineStr">
        <is>
          <t>HAIR SALON</t>
        </is>
      </c>
      <c r="D573" t="inlineStr">
        <is>
          <t>Carrer d'Andrea Dòria, 49, Ciutat Vella, 08003 Barcelona, Spain</t>
        </is>
      </c>
      <c r="F573">
        <f>+34 931 41 48 90</f>
        <v/>
      </c>
      <c r="H573" t="inlineStr">
        <is>
          <t>Pending</t>
        </is>
      </c>
    </row>
    <row r="574">
      <c r="A574" t="inlineStr">
        <is>
          <t>SUNDY UNISEX HAIR SALON / AMPLE</t>
        </is>
      </c>
      <c r="C574" t="inlineStr">
        <is>
          <t>HAIR SALON</t>
        </is>
      </c>
      <c r="D574" t="inlineStr">
        <is>
          <t>Carrer Ample, 42, Ciutat Vella, 08002 Barcelona, Spain</t>
        </is>
      </c>
      <c r="F574">
        <f>+34 627 15 19 70</f>
        <v/>
      </c>
      <c r="H574" t="inlineStr">
        <is>
          <t>Pending</t>
        </is>
      </c>
    </row>
    <row r="575">
      <c r="A575" t="inlineStr">
        <is>
          <t>Sakura</t>
        </is>
      </c>
      <c r="C575" t="inlineStr">
        <is>
          <t>HAIR SALON</t>
        </is>
      </c>
      <c r="D575" t="inlineStr">
        <is>
          <t>Travessera de les Corts, 23, Les Corts, 08028 Barcelona, Spain</t>
        </is>
      </c>
      <c r="E575" t="inlineStr">
        <is>
          <t>http://sakura36.booksy.com/</t>
        </is>
      </c>
      <c r="F575">
        <f>+34 602 63 49 58</f>
        <v/>
      </c>
      <c r="H575" t="inlineStr">
        <is>
          <t>Pending</t>
        </is>
      </c>
    </row>
    <row r="576">
      <c r="A576" t="inlineStr">
        <is>
          <t>Salon Carla Jimenez</t>
        </is>
      </c>
      <c r="C576" t="inlineStr">
        <is>
          <t>HAIR SALON</t>
        </is>
      </c>
      <c r="D576" t="inlineStr">
        <is>
          <t>Carrer de Provença, 81, Eixample, 08029 Barcelona, Spain</t>
        </is>
      </c>
      <c r="F576">
        <f>+34 699 98 77 25</f>
        <v/>
      </c>
      <c r="H576" t="inlineStr">
        <is>
          <t>Pending</t>
        </is>
      </c>
    </row>
    <row r="577">
      <c r="A577" t="inlineStr">
        <is>
          <t>Salon Cut'n'Color</t>
        </is>
      </c>
      <c r="C577" t="inlineStr">
        <is>
          <t>HAIR SALON</t>
        </is>
      </c>
      <c r="D577" t="inlineStr">
        <is>
          <t>Carrer d'Alfons XII, 75, Sarrià-Sant Gervasi, 08006 Barcelona, Spain</t>
        </is>
      </c>
      <c r="E577" t="inlineStr">
        <is>
          <t>https://cut-n-color.es/?utm_source=google&amp;utm_medium=maps&amp;utm_campaign=local_profile</t>
        </is>
      </c>
      <c r="F577">
        <f>+34 602 48 57 16</f>
        <v/>
      </c>
      <c r="G577" t="inlineStr">
        <is>
          <t>ba.cut.and.color@gmail.com</t>
        </is>
      </c>
      <c r="H577" t="inlineStr">
        <is>
          <t>Pending</t>
        </is>
      </c>
    </row>
    <row r="578">
      <c r="A578" t="inlineStr">
        <is>
          <t>Salon De Belleza</t>
        </is>
      </c>
      <c r="C578" t="inlineStr">
        <is>
          <t>HAIR SALON</t>
        </is>
      </c>
      <c r="D578" t="inlineStr">
        <is>
          <t>Carrer de Sant Pere Més Baix, 38, Ciutat Vella, 08003 Barcelona, Spain</t>
        </is>
      </c>
      <c r="F578">
        <f>+34 688 01 15 58</f>
        <v/>
      </c>
      <c r="H578" t="inlineStr">
        <is>
          <t>Pending</t>
        </is>
      </c>
    </row>
    <row r="579">
      <c r="A579" t="inlineStr">
        <is>
          <t>Salon Moles</t>
        </is>
      </c>
      <c r="C579" t="inlineStr">
        <is>
          <t>HAIR SALON</t>
        </is>
      </c>
      <c r="D579" t="inlineStr">
        <is>
          <t>Carrer del Doctor Martí Julià, 30, 08903 L'Hospitalet de Llobregat, Barcelona, Spain</t>
        </is>
      </c>
      <c r="F579">
        <f>+34 684 23 45 43</f>
        <v/>
      </c>
      <c r="H579" t="inlineStr">
        <is>
          <t>Pending</t>
        </is>
      </c>
    </row>
    <row r="580">
      <c r="A580" t="inlineStr">
        <is>
          <t>Salon Special Touch</t>
        </is>
      </c>
      <c r="C580" t="inlineStr">
        <is>
          <t>HAIR SALON</t>
        </is>
      </c>
      <c r="D580" t="inlineStr">
        <is>
          <t>Carrer de Floridablanca, 127, Eixample, 08011 Barcelona, Spain</t>
        </is>
      </c>
      <c r="F580">
        <f>+34 935 19 17 97</f>
        <v/>
      </c>
      <c r="H580" t="inlineStr">
        <is>
          <t>Pending</t>
        </is>
      </c>
    </row>
    <row r="581">
      <c r="A581" t="inlineStr">
        <is>
          <t>Salon by Wen</t>
        </is>
      </c>
      <c r="C581" t="inlineStr">
        <is>
          <t>HAIR SALON</t>
        </is>
      </c>
      <c r="D581" t="inlineStr">
        <is>
          <t>Carrer del Rector Ubach, 53, Sarrià-Sant Gervasi, 08021 Barcelona, Spain</t>
        </is>
      </c>
      <c r="F581">
        <f>+34 935 34 22 94</f>
        <v/>
      </c>
      <c r="H581" t="inlineStr">
        <is>
          <t>Pending</t>
        </is>
      </c>
    </row>
    <row r="582">
      <c r="A582" t="inlineStr">
        <is>
          <t>Saloncito 131 || Peluquería || Barbería ||</t>
        </is>
      </c>
      <c r="C582" t="inlineStr">
        <is>
          <t>HAIR SALON</t>
        </is>
      </c>
      <c r="D582" t="inlineStr">
        <is>
          <t>Carrer del Comte Borrell, 131, Eixample, 08015 Barcelona, Spain</t>
        </is>
      </c>
      <c r="F582">
        <f>+34 931 74 97 70</f>
        <v/>
      </c>
      <c r="H582" t="inlineStr">
        <is>
          <t>Pending</t>
        </is>
      </c>
    </row>
    <row r="583">
      <c r="A583" t="inlineStr">
        <is>
          <t>Saló LLONGUERAS Barcelona - Perruqueria</t>
        </is>
      </c>
      <c r="C583" t="inlineStr">
        <is>
          <t>HAIR SALON</t>
        </is>
      </c>
      <c r="D583" t="inlineStr">
        <is>
          <t>Pl. de Catalunya, 14, Eixample, 08002 Barcelona, Spain</t>
        </is>
      </c>
      <c r="F583">
        <f>+34 934 12 13 76</f>
        <v/>
      </c>
      <c r="H583" t="inlineStr">
        <is>
          <t>Pending</t>
        </is>
      </c>
    </row>
    <row r="584">
      <c r="A584" t="inlineStr">
        <is>
          <t>Saló PAS Mistral</t>
        </is>
      </c>
      <c r="C584" t="inlineStr">
        <is>
          <t>HAIR SALON</t>
        </is>
      </c>
      <c r="D584" t="inlineStr">
        <is>
          <t>Av. de Mistral, 55, Eixample, 08015 Barcelona, Spain</t>
        </is>
      </c>
      <c r="F584">
        <f>+34 606 75 49 45</f>
        <v/>
      </c>
      <c r="H584" t="inlineStr">
        <is>
          <t>Pending</t>
        </is>
      </c>
    </row>
    <row r="585">
      <c r="A585" t="inlineStr">
        <is>
          <t>Saló Trendy Bcn</t>
        </is>
      </c>
      <c r="C585" t="inlineStr">
        <is>
          <t>HAIR SALON</t>
        </is>
      </c>
      <c r="D585" t="inlineStr">
        <is>
          <t>Carrer de Calvet, 84, Sarrià-Sant Gervasi, 08021 Barcelona, Spain</t>
        </is>
      </c>
      <c r="F585">
        <f>+34 932 09 41 28</f>
        <v/>
      </c>
      <c r="H585" t="inlineStr">
        <is>
          <t>Pending</t>
        </is>
      </c>
    </row>
    <row r="586">
      <c r="A586" t="inlineStr">
        <is>
          <t>Saló d'úngles Nina Barcelona</t>
        </is>
      </c>
      <c r="C586" t="inlineStr">
        <is>
          <t>HAIR SALON</t>
        </is>
      </c>
      <c r="D586" t="inlineStr">
        <is>
          <t>Carrer de Balmes, 412, Sarrià-Sant Gervasi, 08022 Barcelona, Spain</t>
        </is>
      </c>
      <c r="E586" t="inlineStr">
        <is>
          <t>https://www.ninanails.es/</t>
        </is>
      </c>
      <c r="F586">
        <f>+34 630 26 18 94</f>
        <v/>
      </c>
      <c r="G586" t="inlineStr">
        <is>
          <t>info@ninanails.es</t>
        </is>
      </c>
      <c r="H586" t="inlineStr">
        <is>
          <t>Pending</t>
        </is>
      </c>
    </row>
    <row r="587">
      <c r="A587" t="inlineStr">
        <is>
          <t>Saló de Bellesa Roxana</t>
        </is>
      </c>
      <c r="C587" t="inlineStr">
        <is>
          <t>HAIR SALON</t>
        </is>
      </c>
      <c r="D587" t="inlineStr">
        <is>
          <t>Av. d'Amèrica, 37, 37 37, 08907 L'Hospitalet de Llobregat, Barcelona, Spain</t>
        </is>
      </c>
      <c r="F587">
        <f>+34 930 08 40 03</f>
        <v/>
      </c>
      <c r="H587" t="inlineStr">
        <is>
          <t>Pending</t>
        </is>
      </c>
    </row>
    <row r="588">
      <c r="A588" t="inlineStr">
        <is>
          <t>Salón 13 Scissors Hairdressers</t>
        </is>
      </c>
      <c r="C588" t="inlineStr">
        <is>
          <t>HAIR SALON</t>
        </is>
      </c>
      <c r="D588" t="inlineStr">
        <is>
          <t>Carrer del Comte Borrell, 97, Eixample, 08015 Barcelona, Spain</t>
        </is>
      </c>
      <c r="F588">
        <f>+34 934 23 63 87</f>
        <v/>
      </c>
      <c r="H588" t="inlineStr">
        <is>
          <t>Pending</t>
        </is>
      </c>
    </row>
    <row r="589">
      <c r="A589" t="inlineStr">
        <is>
          <t>Salón 156</t>
        </is>
      </c>
      <c r="C589" t="inlineStr">
        <is>
          <t>HAIR SALON</t>
        </is>
      </c>
      <c r="D589" t="inlineStr">
        <is>
          <t>Carrer de la Diputació, 115, Eixample, 08015 Barcelona, Spain</t>
        </is>
      </c>
      <c r="F589">
        <f>+34 931 71 34 69</f>
        <v/>
      </c>
      <c r="H589" t="inlineStr">
        <is>
          <t>Pending</t>
        </is>
      </c>
    </row>
    <row r="590">
      <c r="A590" t="inlineStr">
        <is>
          <t>Salón Eleven | Balayage &amp; Peluquería Profesional Barcelona</t>
        </is>
      </c>
      <c r="C590" t="inlineStr">
        <is>
          <t>HAIR SALON</t>
        </is>
      </c>
      <c r="D590" t="inlineStr">
        <is>
          <t>Carrer de Rocafort, 11, Eixample, 08015 Barcelona, Spain</t>
        </is>
      </c>
      <c r="F590">
        <f>+34 648 66 64 37</f>
        <v/>
      </c>
      <c r="H590" t="inlineStr">
        <is>
          <t>Pending</t>
        </is>
      </c>
    </row>
    <row r="591">
      <c r="A591" t="inlineStr">
        <is>
          <t>Salón Llongueras CC Arenas de Barcelona</t>
        </is>
      </c>
      <c r="C591" t="inlineStr">
        <is>
          <t>HAIR SALON</t>
        </is>
      </c>
      <c r="D591" t="inlineStr">
        <is>
          <t>Gran Via de les Corts Catalanes, 385, planta 0. Local B 5, Eixample, 08015 Barcelona, Spain</t>
        </is>
      </c>
      <c r="F591">
        <f>+34 930 07 64 11</f>
        <v/>
      </c>
      <c r="H591" t="inlineStr">
        <is>
          <t>Pending</t>
        </is>
      </c>
    </row>
    <row r="592">
      <c r="A592" t="inlineStr">
        <is>
          <t>Salón Olea</t>
        </is>
      </c>
      <c r="C592" t="inlineStr">
        <is>
          <t>HAIR SALON</t>
        </is>
      </c>
      <c r="D592" t="inlineStr">
        <is>
          <t>Carrer Provença, 28, 08901 L'Hospitalet de Llobregat, Barcelona, Spain</t>
        </is>
      </c>
      <c r="F592">
        <f>+34 722 57 84 42</f>
        <v/>
      </c>
      <c r="H592" t="inlineStr">
        <is>
          <t>Pending</t>
        </is>
      </c>
    </row>
    <row r="593">
      <c r="A593" t="inlineStr">
        <is>
          <t>Salón TONI&amp;GUY - Barcelona</t>
        </is>
      </c>
      <c r="C593" t="inlineStr">
        <is>
          <t>HAIR SALON</t>
        </is>
      </c>
      <c r="D593" t="inlineStr">
        <is>
          <t>Carrer de París, 205, Eixample, 08008 Barcelona, Spain</t>
        </is>
      </c>
      <c r="F593">
        <f>+34 936 03 15 80</f>
        <v/>
      </c>
      <c r="H593" t="inlineStr">
        <is>
          <t>Pending</t>
        </is>
      </c>
    </row>
    <row r="594">
      <c r="A594" t="inlineStr">
        <is>
          <t>Salón TORO Pau Casals 6</t>
        </is>
      </c>
      <c r="C594" t="inlineStr">
        <is>
          <t>HAIR SALON</t>
        </is>
      </c>
      <c r="D594" t="inlineStr">
        <is>
          <t>Av. de Pau Casals, 6, Sarrià-Sant Gervasi, 08021 Barcelona, Spain</t>
        </is>
      </c>
      <c r="F594">
        <f>+34 663 80 93 29</f>
        <v/>
      </c>
      <c r="H594" t="inlineStr">
        <is>
          <t>Pending</t>
        </is>
      </c>
    </row>
    <row r="595">
      <c r="A595" t="inlineStr">
        <is>
          <t>Salón The New Bee &amp; Nails</t>
        </is>
      </c>
      <c r="C595" t="inlineStr">
        <is>
          <t>HAIR SALON</t>
        </is>
      </c>
      <c r="D595" t="inlineStr">
        <is>
          <t>Rda. de Sant Antoni, 86, Ciutat Vella, 08001 Barcelona, Spain</t>
        </is>
      </c>
      <c r="F595">
        <f>+34 931 43 31 34</f>
        <v/>
      </c>
      <c r="H595" t="inlineStr">
        <is>
          <t>Pending</t>
        </is>
      </c>
    </row>
    <row r="596">
      <c r="A596" t="inlineStr">
        <is>
          <t>Salón boutique OR Barcelona</t>
        </is>
      </c>
      <c r="C596" t="inlineStr">
        <is>
          <t>HAIR SALON</t>
        </is>
      </c>
      <c r="D596" t="inlineStr">
        <is>
          <t>Carrer de Sèneca, 31, Gràcia, 08006 Barcelona, Spain</t>
        </is>
      </c>
      <c r="F596">
        <f>+34 650 71 28 07</f>
        <v/>
      </c>
      <c r="H596" t="inlineStr">
        <is>
          <t>Pending</t>
        </is>
      </c>
    </row>
    <row r="597">
      <c r="A597" t="inlineStr">
        <is>
          <t>Salón de belleza OTUS</t>
        </is>
      </c>
      <c r="C597" t="inlineStr">
        <is>
          <t>HAIR SALON</t>
        </is>
      </c>
      <c r="D597" t="inlineStr">
        <is>
          <t>Av. d'Amèrica, 35, 08907 L'Hospitalet de Llobregat, Barcelona, Spain</t>
        </is>
      </c>
      <c r="F597">
        <f>+34 638 49 97 30</f>
        <v/>
      </c>
      <c r="H597" t="inlineStr">
        <is>
          <t>Pending</t>
        </is>
      </c>
    </row>
    <row r="598">
      <c r="A598" t="inlineStr">
        <is>
          <t>Samvina | Perruqueria unisex afro</t>
        </is>
      </c>
      <c r="C598" t="inlineStr">
        <is>
          <t>HAIR SALON</t>
        </is>
      </c>
      <c r="D598" t="inlineStr">
        <is>
          <t>Carrer de Viladomat, 1, Eixample, 08015 Barcelona, Spain</t>
        </is>
      </c>
      <c r="F598">
        <f>+34 669 45 62 21</f>
        <v/>
      </c>
      <c r="G598" t="inlineStr">
        <is>
          <t>samvina.peluqueria@gmail.com</t>
        </is>
      </c>
      <c r="H598" t="inlineStr">
        <is>
          <t>Pending</t>
        </is>
      </c>
    </row>
    <row r="599">
      <c r="A599" t="inlineStr">
        <is>
          <t>Santos Estilistas Unisex</t>
        </is>
      </c>
      <c r="C599" t="inlineStr">
        <is>
          <t>HAIR SALON</t>
        </is>
      </c>
      <c r="D599" t="inlineStr">
        <is>
          <t>Carrer de Viladomat, 96, Eixample, 08015 Barcelona, Spain</t>
        </is>
      </c>
      <c r="F599">
        <f>+34 934 26 41 31</f>
        <v/>
      </c>
      <c r="H599" t="inlineStr">
        <is>
          <t>Pending</t>
        </is>
      </c>
    </row>
    <row r="600">
      <c r="A600" t="inlineStr">
        <is>
          <t>Secret Perruquers</t>
        </is>
      </c>
      <c r="C600" t="inlineStr">
        <is>
          <t>HAIR SALON</t>
        </is>
      </c>
      <c r="D600" t="inlineStr">
        <is>
          <t>Avinguda d'Isabel la Catòlica, 12, 08901 L'Hospitalet de Llobregat, Barcelona, Spain</t>
        </is>
      </c>
      <c r="F600">
        <f>+34 931 81 47 00</f>
        <v/>
      </c>
      <c r="G600" t="inlineStr">
        <is>
          <t>info@secretperruquers.com</t>
        </is>
      </c>
      <c r="H600" t="inlineStr">
        <is>
          <t>Pending</t>
        </is>
      </c>
    </row>
    <row r="601">
      <c r="A601" t="inlineStr">
        <is>
          <t>Secretos de Mujer</t>
        </is>
      </c>
      <c r="C601" t="inlineStr">
        <is>
          <t>HAIR SALON</t>
        </is>
      </c>
      <c r="D601" t="inlineStr">
        <is>
          <t>Carrer d'Entença, 178, local 4, Eixample, 08029 Barcelona, Spain</t>
        </is>
      </c>
      <c r="F601">
        <f>+34 653 56 50 35</f>
        <v/>
      </c>
      <c r="G601" t="inlineStr">
        <is>
          <t>hola@secretosdemujerbcn.com</t>
        </is>
      </c>
      <c r="H601" t="inlineStr">
        <is>
          <t>Pending</t>
        </is>
      </c>
    </row>
    <row r="602">
      <c r="A602" t="inlineStr">
        <is>
          <t>Seme</t>
        </is>
      </c>
      <c r="C602" t="inlineStr">
        <is>
          <t>HAIR SALON</t>
        </is>
      </c>
      <c r="D602" t="inlineStr">
        <is>
          <t>Ronda del General Mitre, 210, Sarrià-Sant Gervasi, 08006 Barcelona, Spain</t>
        </is>
      </c>
      <c r="E602" t="inlineStr">
        <is>
          <t>http://www.seme.org/</t>
        </is>
      </c>
      <c r="F602">
        <f>+34 933 68 54 54</f>
        <v/>
      </c>
      <c r="H602" t="inlineStr">
        <is>
          <t>Pending</t>
        </is>
      </c>
    </row>
    <row r="603">
      <c r="A603" t="inlineStr">
        <is>
          <t>Shalom beauty salon Peluquería Barcelona</t>
        </is>
      </c>
      <c r="C603" t="inlineStr">
        <is>
          <t>HAIR SALON</t>
        </is>
      </c>
      <c r="D603" t="inlineStr">
        <is>
          <t>Carrer del Consell de Cent, 261, Eixample, 08011 Barcelona, Spain</t>
        </is>
      </c>
      <c r="F603">
        <f>+34 935 30 60 23</f>
        <v/>
      </c>
      <c r="H603" t="inlineStr">
        <is>
          <t>Pending</t>
        </is>
      </c>
    </row>
    <row r="604">
      <c r="A604" t="inlineStr">
        <is>
          <t>Shibuya 84 Hair Salon</t>
        </is>
      </c>
      <c r="C604" t="inlineStr">
        <is>
          <t>HAIR SALON</t>
        </is>
      </c>
      <c r="D604" t="inlineStr">
        <is>
          <t>Carrer de Mallorca, 65, Entresuelo A, Eixample, 08029 Barcelona, Spain</t>
        </is>
      </c>
      <c r="F604">
        <f>+34 663 25 25 25</f>
        <v/>
      </c>
      <c r="G604" t="inlineStr">
        <is>
          <t>shibuyasalon84@gmail.com</t>
        </is>
      </c>
      <c r="H604" t="inlineStr">
        <is>
          <t>Pending</t>
        </is>
      </c>
    </row>
    <row r="605">
      <c r="A605" t="inlineStr">
        <is>
          <t>Sir Fausto, barbería y tattoo</t>
        </is>
      </c>
      <c r="C605" t="inlineStr">
        <is>
          <t>HAIR SALON</t>
        </is>
      </c>
      <c r="D605" t="inlineStr">
        <is>
          <t>Carrer de Mallorca, 237 Bis, Eixample, 08008 Barcelona, Spain</t>
        </is>
      </c>
      <c r="F605">
        <f>+34 931 09 78 25</f>
        <v/>
      </c>
      <c r="H605" t="inlineStr">
        <is>
          <t>Pending</t>
        </is>
      </c>
    </row>
    <row r="606">
      <c r="A606" t="inlineStr">
        <is>
          <t>Sisú Beauty Studio</t>
        </is>
      </c>
      <c r="C606" t="inlineStr">
        <is>
          <t>HAIR SALON</t>
        </is>
      </c>
      <c r="D606" t="inlineStr">
        <is>
          <t>Carrer de Castelao, 180, 08902 L'Hospitalet de Llobregat, Barcelona, Spain</t>
        </is>
      </c>
      <c r="F606">
        <f>+34 623 06 36 17</f>
        <v/>
      </c>
      <c r="H606" t="inlineStr">
        <is>
          <t>Pending</t>
        </is>
      </c>
    </row>
    <row r="607">
      <c r="A607" t="inlineStr">
        <is>
          <t>Skull Barber Shop Barcelona (Rocafort)</t>
        </is>
      </c>
      <c r="C607" t="inlineStr">
        <is>
          <t>HAIR SALON</t>
        </is>
      </c>
      <c r="D607" t="inlineStr">
        <is>
          <t>Carrer de Rocafort, 143, Eixample, 08015 Barcelona, Spain</t>
        </is>
      </c>
      <c r="F607">
        <f>+34 654 55 81 85</f>
        <v/>
      </c>
      <c r="H607" t="inlineStr">
        <is>
          <t>Pending</t>
        </is>
      </c>
    </row>
    <row r="608">
      <c r="A608" t="inlineStr">
        <is>
          <t>Solmanía</t>
        </is>
      </c>
      <c r="C608" t="inlineStr">
        <is>
          <t>HAIR SALON</t>
        </is>
      </c>
      <c r="D608" t="inlineStr">
        <is>
          <t>C/ de Muntaner, 121, Eixample, 08036 Barcelona, Spain</t>
        </is>
      </c>
      <c r="F608">
        <f>+34 934 51 75 76</f>
        <v/>
      </c>
      <c r="H608" t="inlineStr">
        <is>
          <t>Pending</t>
        </is>
      </c>
    </row>
    <row r="609">
      <c r="A609" t="inlineStr">
        <is>
          <t>Sons of Barber - Born</t>
        </is>
      </c>
      <c r="C609" t="inlineStr">
        <is>
          <t>HAIR SALON</t>
        </is>
      </c>
      <c r="D609" t="inlineStr">
        <is>
          <t>Carrer de Sant Pere Més Baix, 46, Ciutat Vella, 08003 Barcelona, Spain</t>
        </is>
      </c>
      <c r="F609">
        <f>+34 931 54 45 10</f>
        <v/>
      </c>
      <c r="H609" t="inlineStr">
        <is>
          <t>Pending</t>
        </is>
      </c>
    </row>
    <row r="610">
      <c r="A610" t="inlineStr">
        <is>
          <t>SportsCuts Peluquería Unisex</t>
        </is>
      </c>
      <c r="C610" t="inlineStr">
        <is>
          <t>HAIR SALON</t>
        </is>
      </c>
      <c r="D610" t="inlineStr">
        <is>
          <t>Carrer d'Enric Granados, 99, Eixample, 08008 Barcelona, Spain</t>
        </is>
      </c>
      <c r="F610">
        <f>+34 935 41 72 32</f>
        <v/>
      </c>
      <c r="H610" t="inlineStr">
        <is>
          <t>Pending</t>
        </is>
      </c>
    </row>
    <row r="611">
      <c r="A611" t="inlineStr">
        <is>
          <t>Stephen the American Barber in Les Corts</t>
        </is>
      </c>
      <c r="C611" t="inlineStr">
        <is>
          <t>HAIR SALON</t>
        </is>
      </c>
      <c r="D611" t="inlineStr">
        <is>
          <t>Carrer de Caballero, 71, Les Corts, 08014 Barcelona, Spain</t>
        </is>
      </c>
      <c r="F611">
        <f>+34 638 13 58 32</f>
        <v/>
      </c>
      <c r="H611" t="inlineStr">
        <is>
          <t>Pending</t>
        </is>
      </c>
    </row>
    <row r="612">
      <c r="A612" t="inlineStr">
        <is>
          <t>Styl &amp; Beauty</t>
        </is>
      </c>
      <c r="C612" t="inlineStr">
        <is>
          <t>HAIR SALON</t>
        </is>
      </c>
      <c r="D612" t="inlineStr">
        <is>
          <t>Carrer de Viladomat, 63, Eixample, 08015 Barcelona, Spain</t>
        </is>
      </c>
      <c r="F612">
        <f>+34 934 25 23 63</f>
        <v/>
      </c>
      <c r="H612" t="inlineStr">
        <is>
          <t>Pending</t>
        </is>
      </c>
    </row>
    <row r="613">
      <c r="A613" t="inlineStr">
        <is>
          <t>Style mendez</t>
        </is>
      </c>
      <c r="C613" t="inlineStr">
        <is>
          <t>HAIR SALON</t>
        </is>
      </c>
      <c r="D613" t="inlineStr">
        <is>
          <t>Carrer de Canalejas, 89, Sants-Montjuïc, 08028 Barcelona, Spain</t>
        </is>
      </c>
      <c r="F613">
        <f>+34 613 48 67 41</f>
        <v/>
      </c>
      <c r="H613" t="inlineStr">
        <is>
          <t>Pending</t>
        </is>
      </c>
    </row>
    <row r="614">
      <c r="A614" t="inlineStr">
        <is>
          <t>Sugandha, Aroma de belleza natural Floridablanca</t>
        </is>
      </c>
      <c r="C614" t="inlineStr">
        <is>
          <t>HAIR SALON</t>
        </is>
      </c>
      <c r="D614" t="inlineStr">
        <is>
          <t>Carrer de Floridablanca, 116, Eixample, 08015 Barcelona, Spain</t>
        </is>
      </c>
      <c r="F614">
        <f>+34 931 68 32 26</f>
        <v/>
      </c>
      <c r="H614" t="inlineStr">
        <is>
          <t>Pending</t>
        </is>
      </c>
    </row>
    <row r="615">
      <c r="A615" t="inlineStr">
        <is>
          <t>Sundy Unisex Hair Salon /REC</t>
        </is>
      </c>
      <c r="C615" t="inlineStr">
        <is>
          <t>HAIR SALON</t>
        </is>
      </c>
      <c r="D615" t="inlineStr">
        <is>
          <t>Carrer del Rec, 44, Ciutat Vella, 08003 Barcelona, Spain</t>
        </is>
      </c>
      <c r="F615">
        <f>+34 666 65 85 18</f>
        <v/>
      </c>
      <c r="H615" t="inlineStr">
        <is>
          <t>Pending</t>
        </is>
      </c>
    </row>
    <row r="616">
      <c r="A616" t="inlineStr">
        <is>
          <t>TANG</t>
        </is>
      </c>
      <c r="C616" t="inlineStr">
        <is>
          <t>HAIR SALON</t>
        </is>
      </c>
      <c r="D616" t="inlineStr">
        <is>
          <t>ES Barcelona Barcelona, Avinguda del Paral·lel, 158, Local 2 Eixample, 08015 Barcelona, Spain</t>
        </is>
      </c>
      <c r="F616">
        <f>+34 934 23 77 74</f>
        <v/>
      </c>
      <c r="H616" t="inlineStr">
        <is>
          <t>Pending</t>
        </is>
      </c>
    </row>
    <row r="617">
      <c r="A617" t="inlineStr">
        <is>
          <t>TEN Clinic - Clínica Medicina Estética Barcelona</t>
        </is>
      </c>
      <c r="C617" t="inlineStr">
        <is>
          <t>HAIR SALON</t>
        </is>
      </c>
      <c r="D617" t="inlineStr">
        <is>
          <t>Carrer de València, 195, Eixample, 08011 Barcelona, Spain</t>
        </is>
      </c>
      <c r="E617" t="inlineStr">
        <is>
          <t>https://tenbcn.com/clinica-estetica-ten-beauty-barcelona/</t>
        </is>
      </c>
      <c r="F617">
        <f>+34 685 59 07 58</f>
        <v/>
      </c>
      <c r="H617" t="inlineStr">
        <is>
          <t>Pending</t>
        </is>
      </c>
    </row>
    <row r="618">
      <c r="A618" t="inlineStr">
        <is>
          <t>THECOMB</t>
        </is>
      </c>
      <c r="C618" t="inlineStr">
        <is>
          <t>HAIR SALON</t>
        </is>
      </c>
      <c r="D618" t="inlineStr">
        <is>
          <t>Rambla de Catalunya, 117, Eixample, 08008 Barcelona, Spain</t>
        </is>
      </c>
      <c r="F618">
        <f>+34 933 68 96 78</f>
        <v/>
      </c>
      <c r="H618" t="inlineStr">
        <is>
          <t>Pending</t>
        </is>
      </c>
    </row>
    <row r="619">
      <c r="A619" t="inlineStr">
        <is>
          <t>TRIUMPH BARBERSHOP</t>
        </is>
      </c>
      <c r="C619" t="inlineStr">
        <is>
          <t>HAIR SALON</t>
        </is>
      </c>
      <c r="D619" t="inlineStr">
        <is>
          <t>Carrer de Buenos Aires, 17, Eixample, 08029 Barcelona, Spain</t>
        </is>
      </c>
      <c r="F619">
        <f>+34 661 96 59 83</f>
        <v/>
      </c>
      <c r="H619" t="inlineStr">
        <is>
          <t>Pending</t>
        </is>
      </c>
    </row>
    <row r="620">
      <c r="A620" t="inlineStr">
        <is>
          <t>TROISE AND SONS BARBIERE BARCELONA PELUQUERIA BARBERÍA</t>
        </is>
      </c>
      <c r="C620" t="inlineStr">
        <is>
          <t>HAIR SALON</t>
        </is>
      </c>
      <c r="D620" t="inlineStr">
        <is>
          <t>Carrer de l'Avenir, 71, local 1, Sarrià-Sant Gervasi, 08021 Barcelona, Spain</t>
        </is>
      </c>
      <c r="F620">
        <f>+34 696 85 28 10</f>
        <v/>
      </c>
      <c r="H620" t="inlineStr">
        <is>
          <t>Pending</t>
        </is>
      </c>
    </row>
    <row r="621">
      <c r="A621" t="inlineStr">
        <is>
          <t>Tapias - Centre Capil·lar</t>
        </is>
      </c>
      <c r="C621" t="inlineStr">
        <is>
          <t>HAIR SALON</t>
        </is>
      </c>
      <c r="D621" t="inlineStr">
        <is>
          <t>Carrer de Pau Claris, 96, Eixample, 08010 Barcelona, Spain</t>
        </is>
      </c>
      <c r="E621" t="inlineStr">
        <is>
          <t>http://www.centrocapilartapias.es/</t>
        </is>
      </c>
      <c r="F621">
        <f>+34 933 18 24 49</f>
        <v/>
      </c>
      <c r="H621" t="inlineStr">
        <is>
          <t>Pending</t>
        </is>
      </c>
    </row>
    <row r="622">
      <c r="A622" t="inlineStr">
        <is>
          <t>Taster barber studio</t>
        </is>
      </c>
      <c r="C622" t="inlineStr">
        <is>
          <t>HAIR SALON</t>
        </is>
      </c>
      <c r="D622" t="inlineStr">
        <is>
          <t>Carrer de la Foneria, 18, Sants-Montjuïc, 08038 Barcelona, Spain</t>
        </is>
      </c>
      <c r="F622">
        <f>+34 603 85 40 32</f>
        <v/>
      </c>
      <c r="H622" t="inlineStr">
        <is>
          <t>Pending</t>
        </is>
      </c>
    </row>
    <row r="623">
      <c r="A623" t="inlineStr">
        <is>
          <t>Teknohair Medical</t>
        </is>
      </c>
      <c r="C623" t="inlineStr">
        <is>
          <t>HAIR SALON</t>
        </is>
      </c>
      <c r="D623" t="inlineStr">
        <is>
          <t>Pg. de la Bonanova, 88, Sarrià-Sant Gervasi, 08017 Barcelona, Spain</t>
        </is>
      </c>
      <c r="F623">
        <f>+34 640 76 61 01</f>
        <v/>
      </c>
      <c r="H623" t="inlineStr">
        <is>
          <t>Pending</t>
        </is>
      </c>
    </row>
    <row r="624">
      <c r="A624" t="inlineStr">
        <is>
          <t>Tenille Nascimento - Microblading &amp; Micropigmentación</t>
        </is>
      </c>
      <c r="C624" t="inlineStr">
        <is>
          <t>HAIR SALON</t>
        </is>
      </c>
      <c r="D624" t="inlineStr">
        <is>
          <t>Carrer de Balmes, 268, Sarrià-Sant Gervasi, 08006 Barcelona, Spain</t>
        </is>
      </c>
      <c r="E624" t="inlineStr">
        <is>
          <t>https://tenille.es/</t>
        </is>
      </c>
      <c r="F624">
        <f>+34 617 75 65 93</f>
        <v/>
      </c>
      <c r="G624" t="inlineStr">
        <is>
          <t>info@tenille.es</t>
        </is>
      </c>
      <c r="H624" t="inlineStr">
        <is>
          <t>Pending</t>
        </is>
      </c>
    </row>
    <row r="625">
      <c r="A625" t="inlineStr">
        <is>
          <t>Terapia Hormonal Bioidéntica</t>
        </is>
      </c>
      <c r="C625" t="inlineStr">
        <is>
          <t>HAIR SALON</t>
        </is>
      </c>
      <c r="D625" t="inlineStr">
        <is>
          <t>Carrer d'Aribau, 162-166, Entlo "O, Eixample, 08036 Barcelona, Spain</t>
        </is>
      </c>
      <c r="E625" t="inlineStr">
        <is>
          <t>https://www.dracamacho.com/</t>
        </is>
      </c>
      <c r="F625">
        <f>+34 606 76 74 20</f>
        <v/>
      </c>
      <c r="H625" t="inlineStr">
        <is>
          <t>Pending</t>
        </is>
      </c>
    </row>
    <row r="626">
      <c r="A626" t="inlineStr">
        <is>
          <t>Thaïs Microart - Micropigmentación Natural y Restauradora</t>
        </is>
      </c>
      <c r="C626" t="inlineStr">
        <is>
          <t>HAIR SALON</t>
        </is>
      </c>
      <c r="E626" t="inlineStr">
        <is>
          <t>https://thaismicroart.com/</t>
        </is>
      </c>
      <c r="F626">
        <f>+34 625 71 40 46</f>
        <v/>
      </c>
      <c r="H626" t="inlineStr">
        <is>
          <t>Pending</t>
        </is>
      </c>
    </row>
    <row r="627">
      <c r="A627" t="inlineStr">
        <is>
          <t>The Barber Club</t>
        </is>
      </c>
      <c r="C627" t="inlineStr">
        <is>
          <t>HAIR SALON</t>
        </is>
      </c>
      <c r="D627" t="inlineStr">
        <is>
          <t>Carrer de Sant Pau, 13, bajo 3, Ciutat Vella, 08001 Barcelona, Spain</t>
        </is>
      </c>
      <c r="F627">
        <f>+34 695 79 33 37</f>
        <v/>
      </c>
      <c r="H627" t="inlineStr">
        <is>
          <t>Pending</t>
        </is>
      </c>
    </row>
    <row r="628">
      <c r="A628" t="inlineStr">
        <is>
          <t>The Barber Job Barcelona</t>
        </is>
      </c>
      <c r="C628" t="inlineStr">
        <is>
          <t>HAIR SALON</t>
        </is>
      </c>
      <c r="D628" t="inlineStr">
        <is>
          <t>Carrer del Torrent de l'Olla, 6, Gràcia, 08012 Barcelona, Spain</t>
        </is>
      </c>
      <c r="F628">
        <f>+34 665 83 06 05</f>
        <v/>
      </c>
      <c r="G628" t="inlineStr">
        <is>
          <t>help.es@booksy.com</t>
        </is>
      </c>
      <c r="H628" t="inlineStr">
        <is>
          <t>Pending</t>
        </is>
      </c>
    </row>
    <row r="629">
      <c r="A629" t="inlineStr">
        <is>
          <t>The Beauty Fabrik Massage &amp; Nails</t>
        </is>
      </c>
      <c r="C629" t="inlineStr">
        <is>
          <t>HAIR SALON</t>
        </is>
      </c>
      <c r="D629" t="inlineStr">
        <is>
          <t>Carrer del Consell de Cent, 277, Eixample, 08011 Barcelona, Spain</t>
        </is>
      </c>
      <c r="F629">
        <f>+34 932 69 46 12</f>
        <v/>
      </c>
      <c r="H629" t="inlineStr">
        <is>
          <t>Pending</t>
        </is>
      </c>
    </row>
    <row r="630">
      <c r="A630" t="inlineStr">
        <is>
          <t>The Fade Factory</t>
        </is>
      </c>
      <c r="C630" t="inlineStr">
        <is>
          <t>HAIR SALON</t>
        </is>
      </c>
      <c r="D630" t="inlineStr">
        <is>
          <t>Carrer de l'Energia, 1, local 2, Sants-Montjuïc, 08038 Barcelona, Spain</t>
        </is>
      </c>
      <c r="F630">
        <f>+34 631 75 06 26</f>
        <v/>
      </c>
      <c r="H630" t="inlineStr">
        <is>
          <t>Pending</t>
        </is>
      </c>
    </row>
    <row r="631">
      <c r="A631" t="inlineStr">
        <is>
          <t>The Gentleman Barbershop | Barberia Barcelona</t>
        </is>
      </c>
      <c r="C631" t="inlineStr">
        <is>
          <t>HAIR SALON</t>
        </is>
      </c>
      <c r="D631" t="inlineStr">
        <is>
          <t>Carrer de Floridablanca, 88, Eixample, 08015 Barcelona, Spain</t>
        </is>
      </c>
      <c r="F631">
        <f>+34 935 10 53 40</f>
        <v/>
      </c>
      <c r="G631" t="inlineStr">
        <is>
          <t>toni@the-gentleman.es</t>
        </is>
      </c>
      <c r="H631" t="inlineStr">
        <is>
          <t>Pending</t>
        </is>
      </c>
    </row>
    <row r="632">
      <c r="A632" t="inlineStr">
        <is>
          <t>The Lord Barber's Club</t>
        </is>
      </c>
      <c r="C632" t="inlineStr">
        <is>
          <t>HAIR SALON</t>
        </is>
      </c>
      <c r="D632" t="inlineStr">
        <is>
          <t>Carrer de Cros, 5, Sants-Montjuïc, 08014 Barcelona, Spain</t>
        </is>
      </c>
      <c r="F632">
        <f>+34 934 31 66 52</f>
        <v/>
      </c>
      <c r="H632" t="inlineStr">
        <is>
          <t>Pending</t>
        </is>
      </c>
    </row>
    <row r="633">
      <c r="A633" t="inlineStr">
        <is>
          <t>The Luxe Hair Spa</t>
        </is>
      </c>
      <c r="C633" t="inlineStr">
        <is>
          <t>HAIR SALON</t>
        </is>
      </c>
      <c r="D633" t="inlineStr">
        <is>
          <t>C/ de Muntaner, 348, Sarrià-Sant Gervasi, 08021 Barcelona, Spain</t>
        </is>
      </c>
      <c r="F633">
        <f>+34 679 20 92 39</f>
        <v/>
      </c>
      <c r="H633" t="inlineStr">
        <is>
          <t>Pending</t>
        </is>
      </c>
    </row>
    <row r="634">
      <c r="A634" t="inlineStr">
        <is>
          <t>The Morgan Room</t>
        </is>
      </c>
      <c r="C634" t="inlineStr">
        <is>
          <t>HAIR SALON</t>
        </is>
      </c>
      <c r="D634" t="inlineStr">
        <is>
          <t>Carrer dels Banys Vells, 17, Ciutat Vella, 08003 Barcelona, Spain</t>
        </is>
      </c>
      <c r="F634">
        <f>+34 665 70 84 80</f>
        <v/>
      </c>
      <c r="H634" t="inlineStr">
        <is>
          <t>Pending</t>
        </is>
      </c>
    </row>
    <row r="635">
      <c r="A635" t="inlineStr">
        <is>
          <t>The Professional Barber Shop</t>
        </is>
      </c>
      <c r="C635" t="inlineStr">
        <is>
          <t>HAIR SALON</t>
        </is>
      </c>
      <c r="D635" t="inlineStr">
        <is>
          <t>Carrer de Calàbria, 152, Eixample, 08015 Barcelona, Spain</t>
        </is>
      </c>
      <c r="F635">
        <f>+34 936 27 32 47</f>
        <v/>
      </c>
      <c r="G635" t="inlineStr">
        <is>
          <t>help.es@booksy.com</t>
        </is>
      </c>
      <c r="H635" t="inlineStr">
        <is>
          <t>Pending</t>
        </is>
      </c>
    </row>
    <row r="636">
      <c r="A636" t="inlineStr">
        <is>
          <t>The central Barber shop</t>
        </is>
      </c>
      <c r="C636" t="inlineStr">
        <is>
          <t>HAIR SALON</t>
        </is>
      </c>
      <c r="D636" t="inlineStr">
        <is>
          <t>Carrer de Sant Pere Més Baix, 40, Ciutat Vella, 08003 Barcelona, Spain</t>
        </is>
      </c>
      <c r="F636">
        <f>+34 935 15 40 06</f>
        <v/>
      </c>
      <c r="H636" t="inlineStr">
        <is>
          <t>Pending</t>
        </is>
      </c>
    </row>
    <row r="637">
      <c r="A637" t="inlineStr">
        <is>
          <t>The fade factory 2.0</t>
        </is>
      </c>
      <c r="C637" t="inlineStr">
        <is>
          <t>HAIR SALON</t>
        </is>
      </c>
      <c r="D637" t="inlineStr">
        <is>
          <t>Rambla del Brasil, 40 Bis, Sants-Montjuïc, 08028 Barcelona, Spain</t>
        </is>
      </c>
      <c r="F637">
        <f>+34 612 41 10 80</f>
        <v/>
      </c>
      <c r="H637" t="inlineStr">
        <is>
          <t>Pending</t>
        </is>
      </c>
    </row>
    <row r="638">
      <c r="A638" t="inlineStr">
        <is>
          <t>Tina Peluquería y Estética Orgánica</t>
        </is>
      </c>
      <c r="C638" t="inlineStr">
        <is>
          <t>HAIR SALON</t>
        </is>
      </c>
      <c r="D638" t="inlineStr">
        <is>
          <t>Carrer de Còrsega, 230, local No 2, Eixample, 08036 Barcelona, Spain</t>
        </is>
      </c>
      <c r="F638">
        <f>+34 936 39 16 22</f>
        <v/>
      </c>
      <c r="H638" t="inlineStr">
        <is>
          <t>Pending</t>
        </is>
      </c>
    </row>
    <row r="639">
      <c r="A639" t="inlineStr">
        <is>
          <t>Tito</t>
        </is>
      </c>
      <c r="C639" t="inlineStr">
        <is>
          <t>HAIR SALON</t>
        </is>
      </c>
      <c r="D639" t="inlineStr">
        <is>
          <t>Carrer de la Diputació, 199, Eixample, 08011 Barcelona, Spain</t>
        </is>
      </c>
      <c r="F639">
        <f>+34 934 53 83 18</f>
        <v/>
      </c>
      <c r="H639" t="inlineStr">
        <is>
          <t>Pending</t>
        </is>
      </c>
    </row>
    <row r="640">
      <c r="A640" t="inlineStr">
        <is>
          <t>Tractaments Garbí</t>
        </is>
      </c>
      <c r="C640" t="inlineStr">
        <is>
          <t>HAIR SALON</t>
        </is>
      </c>
      <c r="D640" t="inlineStr">
        <is>
          <t>Ctra. del Mig, 39, 08940 Cornellà de Llobregat, Barcelona, Spain</t>
        </is>
      </c>
      <c r="E640" t="inlineStr">
        <is>
          <t>http://www.tratamientosgarbi.com/</t>
        </is>
      </c>
      <c r="F640">
        <f>+34 934 21 81 03</f>
        <v/>
      </c>
      <c r="H640" t="inlineStr">
        <is>
          <t>Pending</t>
        </is>
      </c>
    </row>
    <row r="641">
      <c r="A641" t="inlineStr">
        <is>
          <t>Tris Tras by Emily Kalenberg</t>
        </is>
      </c>
      <c r="C641" t="inlineStr">
        <is>
          <t>HAIR SALON</t>
        </is>
      </c>
      <c r="D641" t="inlineStr">
        <is>
          <t>Carrer de Vila i Vilà, 75, Sants-Montjuïc, 08004 Barcelona, Spain</t>
        </is>
      </c>
      <c r="F641">
        <f>+34 934 42 85 45</f>
        <v/>
      </c>
      <c r="H641" t="inlineStr">
        <is>
          <t>Pending</t>
        </is>
      </c>
    </row>
    <row r="642">
      <c r="A642" t="inlineStr">
        <is>
          <t>Tu pelu unisex</t>
        </is>
      </c>
      <c r="C642" t="inlineStr">
        <is>
          <t>HAIR SALON</t>
        </is>
      </c>
      <c r="D642" t="inlineStr">
        <is>
          <t>Rambla de la Marina, 370, 08907 L'Hospitalet de Llobregat, Barcelona, Spain</t>
        </is>
      </c>
      <c r="F642">
        <f>+34 932 63 49 22</f>
        <v/>
      </c>
      <c r="H642" t="inlineStr">
        <is>
          <t>Pending</t>
        </is>
      </c>
    </row>
    <row r="643">
      <c r="A643" t="inlineStr">
        <is>
          <t>UNIT3 Hair Salon</t>
        </is>
      </c>
      <c r="C643" t="inlineStr">
        <is>
          <t>HAIR SALON</t>
        </is>
      </c>
      <c r="D643" t="inlineStr">
        <is>
          <t>Carrer Comercial, 3, Ciutat Vella, 08003 Barcelona, Spain</t>
        </is>
      </c>
      <c r="F643">
        <f>+34 932 95 50 80</f>
        <v/>
      </c>
      <c r="H643" t="inlineStr">
        <is>
          <t>Pending</t>
        </is>
      </c>
    </row>
    <row r="644">
      <c r="A644" t="inlineStr">
        <is>
          <t>Unplan10</t>
        </is>
      </c>
      <c r="C644" t="inlineStr">
        <is>
          <t>HAIR SALON</t>
        </is>
      </c>
      <c r="D644" t="inlineStr">
        <is>
          <t>Carrer de Freixa, 38, Sarrià-Sant Gervasi, 08021 Barcelona, Spain</t>
        </is>
      </c>
      <c r="F644">
        <f>+34 932 15 53 53</f>
        <v/>
      </c>
      <c r="H644" t="inlineStr">
        <is>
          <t>Pending</t>
        </is>
      </c>
    </row>
    <row r="645">
      <c r="A645" t="inlineStr">
        <is>
          <t>VELASCO Perruquería Home Dona Nena Nen.</t>
        </is>
      </c>
      <c r="C645" t="inlineStr">
        <is>
          <t>HAIR SALON</t>
        </is>
      </c>
      <c r="D645" t="inlineStr">
        <is>
          <t>Riera de la Creu, 48, 08901 L'Hospitalet de Llobregat, Barcelona, Spain</t>
        </is>
      </c>
      <c r="F645">
        <f>+34 933 37 32 83</f>
        <v/>
      </c>
      <c r="H645" t="inlineStr">
        <is>
          <t>Pending</t>
        </is>
      </c>
    </row>
    <row r="646">
      <c r="A646" t="inlineStr">
        <is>
          <t>VITAL</t>
        </is>
      </c>
      <c r="C646" t="inlineStr">
        <is>
          <t>HAIR SALON</t>
        </is>
      </c>
      <c r="D646" t="inlineStr">
        <is>
          <t>Via Augusta, Sarrià-Sant Gervasi, 08006 Barcelona, Spain</t>
        </is>
      </c>
      <c r="E646" t="inlineStr">
        <is>
          <t>https://www.vitalvertebien.com/</t>
        </is>
      </c>
      <c r="F646">
        <f>+34 663 49 21 92</f>
        <v/>
      </c>
      <c r="G646" t="inlineStr">
        <is>
          <t>info@somosvital.com</t>
        </is>
      </c>
      <c r="H646" t="inlineStr">
        <is>
          <t>Pending</t>
        </is>
      </c>
    </row>
    <row r="647">
      <c r="A647" t="inlineStr">
        <is>
          <t>VITALMANS: cos, ment i més!</t>
        </is>
      </c>
      <c r="C647" t="inlineStr">
        <is>
          <t>HAIR SALON</t>
        </is>
      </c>
      <c r="D647" t="inlineStr">
        <is>
          <t>Carrer de Lope de Vega, 14, Sant Martí, 08005 Barcelona, Spain</t>
        </is>
      </c>
      <c r="E647" t="inlineStr">
        <is>
          <t>https://vitalmans.cat/</t>
        </is>
      </c>
      <c r="F647">
        <f>+34 623 56 41 55</f>
        <v/>
      </c>
      <c r="G647" t="inlineStr">
        <is>
          <t>vitalmans.fisioterapia@gmail.com</t>
        </is>
      </c>
      <c r="H647" t="inlineStr">
        <is>
          <t>Pending</t>
        </is>
      </c>
    </row>
    <row r="648">
      <c r="A648" t="inlineStr">
        <is>
          <t>VM Clinics - Clínica de Cirugía Estética en Barcelona</t>
        </is>
      </c>
      <c r="C648" t="inlineStr">
        <is>
          <t>HAIR SALON</t>
        </is>
      </c>
      <c r="D648" t="inlineStr">
        <is>
          <t>Carrer de Guillem Tell, 4, Sarrià-Sant Gervasi, 08006 Barcelona, Spain</t>
        </is>
      </c>
      <c r="E648" t="inlineStr">
        <is>
          <t>https://monacohair.eu/</t>
        </is>
      </c>
      <c r="F648">
        <f>+34 604 83 70 21</f>
        <v/>
      </c>
      <c r="H648" t="inlineStr">
        <is>
          <t>Pending</t>
        </is>
      </c>
    </row>
    <row r="649">
      <c r="A649" t="inlineStr">
        <is>
          <t>VR6 Definitive Hair</t>
        </is>
      </c>
      <c r="C649" t="inlineStr">
        <is>
          <t>HAIR SALON</t>
        </is>
      </c>
      <c r="D649" t="inlineStr">
        <is>
          <t>Carrer del Consell de Cent, 106-108, 108, Eixample, 08015 Barcelona, Spain</t>
        </is>
      </c>
      <c r="F649">
        <f>+34 933 27 82 96</f>
        <v/>
      </c>
      <c r="H649" t="inlineStr">
        <is>
          <t>Pending</t>
        </is>
      </c>
    </row>
    <row r="650">
      <c r="A650" t="inlineStr">
        <is>
          <t>Valetta PMU</t>
        </is>
      </c>
      <c r="C650" t="inlineStr">
        <is>
          <t>HAIR SALON</t>
        </is>
      </c>
      <c r="D650" t="inlineStr">
        <is>
          <t>Carrer de Còrsega, 242, Eixample, 08036 Barcelona, Spain</t>
        </is>
      </c>
      <c r="E650" t="inlineStr">
        <is>
          <t>https://www.instagram.com/valetta.pmu?igsh=ZGZpbXhib2owaHll</t>
        </is>
      </c>
      <c r="F650">
        <f>+34 633 91 33 96</f>
        <v/>
      </c>
      <c r="H650" t="inlineStr">
        <is>
          <t>Pending</t>
        </is>
      </c>
    </row>
    <row r="651">
      <c r="A651" t="inlineStr">
        <is>
          <t>Valkyria &amp; Beauty by Javier Moreno</t>
        </is>
      </c>
      <c r="C651" t="inlineStr">
        <is>
          <t>HAIR SALON</t>
        </is>
      </c>
      <c r="D651" t="inlineStr">
        <is>
          <t>Carrer d'Aribau, 29, Eixample, 08011 Barcelona, Spain</t>
        </is>
      </c>
      <c r="F651">
        <f>+34 619 88 42 66</f>
        <v/>
      </c>
      <c r="H651" t="inlineStr">
        <is>
          <t>Pending</t>
        </is>
      </c>
    </row>
    <row r="652">
      <c r="A652" t="inlineStr">
        <is>
          <t>Vanessa Estrada Estilista.</t>
        </is>
      </c>
      <c r="C652" t="inlineStr">
        <is>
          <t>HAIR SALON</t>
        </is>
      </c>
      <c r="D652" t="inlineStr">
        <is>
          <t>Passatge Blanchart, 6, 08901 L'Hospitalet de Llobregat, Barcelona, Spain</t>
        </is>
      </c>
      <c r="F652">
        <f>+34 932 61 58 43</f>
        <v/>
      </c>
      <c r="H652" t="inlineStr">
        <is>
          <t>Pending</t>
        </is>
      </c>
    </row>
    <row r="653">
      <c r="A653" t="inlineStr">
        <is>
          <t>Vanessa Poveda Clínica de Micropigmentación</t>
        </is>
      </c>
      <c r="C653" t="inlineStr">
        <is>
          <t>HAIR SALON</t>
        </is>
      </c>
      <c r="D653" t="inlineStr">
        <is>
          <t>Travessera de Gràcia, 285, Local Comercial, Gràcia, 08025 Barcelona, Spain</t>
        </is>
      </c>
      <c r="E653" t="inlineStr">
        <is>
          <t>https://www.vanessapoveda.com/</t>
        </is>
      </c>
      <c r="F653">
        <f>+34 645 60 31 14</f>
        <v/>
      </c>
      <c r="G653" t="inlineStr">
        <is>
          <t>info@vanessapoveda.com</t>
        </is>
      </c>
      <c r="H653" t="inlineStr">
        <is>
          <t>Pending</t>
        </is>
      </c>
    </row>
    <row r="654">
      <c r="A654" t="inlineStr">
        <is>
          <t>Vanitas Espai</t>
        </is>
      </c>
      <c r="C654" t="inlineStr">
        <is>
          <t>HAIR SALON</t>
        </is>
      </c>
      <c r="D654" t="inlineStr">
        <is>
          <t>Carrer de París, 204, Eixample, 08008 Barcelona, Spain</t>
        </is>
      </c>
      <c r="E654" t="inlineStr">
        <is>
          <t>https://vanitasespai.es/</t>
        </is>
      </c>
      <c r="F654">
        <f>+34 933 68 25 55</f>
        <v/>
      </c>
      <c r="H654" t="inlineStr">
        <is>
          <t>Pending</t>
        </is>
      </c>
    </row>
    <row r="655">
      <c r="A655" t="inlineStr">
        <is>
          <t>Velvet Studio | Peluquería | Beauty Salon &amp; Beauty Coworking Space</t>
        </is>
      </c>
      <c r="C655" t="inlineStr">
        <is>
          <t>HAIR SALON</t>
        </is>
      </c>
      <c r="D655" t="inlineStr">
        <is>
          <t>C/ de Muntaner, 235, Sarrià-Sant Gervasi, 08021 Barcelona, Spain</t>
        </is>
      </c>
      <c r="F655">
        <f>+34 614 33 40 14</f>
        <v/>
      </c>
      <c r="G655" t="inlineStr">
        <is>
          <t>bcn@velvetstudio.es</t>
        </is>
      </c>
      <c r="H655" t="inlineStr">
        <is>
          <t>Pending</t>
        </is>
      </c>
    </row>
    <row r="656">
      <c r="A656" t="inlineStr">
        <is>
          <t>Very</t>
        </is>
      </c>
      <c r="C656" t="inlineStr">
        <is>
          <t>HAIR SALON</t>
        </is>
      </c>
      <c r="D656" t="inlineStr">
        <is>
          <t>Travessera de Collblanc, 6, 8, 08904 Barcelona, Spain</t>
        </is>
      </c>
      <c r="F656">
        <f>+34 930 16 69 31</f>
        <v/>
      </c>
      <c r="H656" t="inlineStr">
        <is>
          <t>Pending</t>
        </is>
      </c>
    </row>
    <row r="657">
      <c r="A657" t="inlineStr">
        <is>
          <t>Vicenç Moretó Barberia</t>
        </is>
      </c>
      <c r="C657" t="inlineStr">
        <is>
          <t>HAIR SALON</t>
        </is>
      </c>
      <c r="D657" t="inlineStr">
        <is>
          <t>Carrer de Joaquín Costa, 51, Ciutat Vella, 08001 Barcelona, Spain</t>
        </is>
      </c>
      <c r="F657">
        <f>+34 933 17 38 55</f>
        <v/>
      </c>
      <c r="H657" t="inlineStr">
        <is>
          <t>Pending</t>
        </is>
      </c>
    </row>
    <row r="658">
      <c r="A658" t="inlineStr">
        <is>
          <t>Virgola Milano Blow</t>
        </is>
      </c>
      <c r="C658" t="inlineStr">
        <is>
          <t>HAIR SALON</t>
        </is>
      </c>
      <c r="D658" t="inlineStr">
        <is>
          <t>Carrer de Casp, 12, Eixample, 08010 Barcelona, Spain</t>
        </is>
      </c>
      <c r="F658">
        <f>+34 934 12 60 49</f>
        <v/>
      </c>
      <c r="G658" t="inlineStr">
        <is>
          <t>virgolamilanoblow@gmail.com</t>
        </is>
      </c>
      <c r="H658" t="inlineStr">
        <is>
          <t>Pending</t>
        </is>
      </c>
    </row>
    <row r="659">
      <c r="A659" t="inlineStr">
        <is>
          <t>Visión barbería 💈</t>
        </is>
      </c>
      <c r="C659" t="inlineStr">
        <is>
          <t>HAIR SALON</t>
        </is>
      </c>
      <c r="D659" t="inlineStr">
        <is>
          <t>Carrer de Sants, 294, Sants-Montjuïc, 08028 Barcelona, Spain</t>
        </is>
      </c>
      <c r="F659">
        <f>+34 673 28 48 45</f>
        <v/>
      </c>
      <c r="H659" t="inlineStr">
        <is>
          <t>Pending</t>
        </is>
      </c>
    </row>
    <row r="660">
      <c r="A660" t="inlineStr">
        <is>
          <t>Vitrine Tradicional Barber</t>
        </is>
      </c>
      <c r="C660" t="inlineStr">
        <is>
          <t>HAIR SALON</t>
        </is>
      </c>
      <c r="D660" t="inlineStr">
        <is>
          <t>Carrer de la Diputació, 22, Eixample, 08015 Barcelona, Spain</t>
        </is>
      </c>
      <c r="F660">
        <f>+34 625 91 35 02</f>
        <v/>
      </c>
      <c r="H660" t="inlineStr">
        <is>
          <t>Pending</t>
        </is>
      </c>
    </row>
    <row r="661">
      <c r="A661" t="inlineStr">
        <is>
          <t>Vittoria Bloom Hairdresser</t>
        </is>
      </c>
      <c r="C661" t="inlineStr">
        <is>
          <t>HAIR SALON</t>
        </is>
      </c>
      <c r="D661" t="inlineStr">
        <is>
          <t>Carrer del Marquès de Sentmenat, 43, Les Corts, 08029 Barcelona, Spain</t>
        </is>
      </c>
      <c r="F661">
        <f>+34 931 17 98 51</f>
        <v/>
      </c>
      <c r="H661" t="inlineStr">
        <is>
          <t>Pending</t>
        </is>
      </c>
    </row>
    <row r="662">
      <c r="A662" t="inlineStr">
        <is>
          <t>Voilà Beauty</t>
        </is>
      </c>
      <c r="C662" t="inlineStr">
        <is>
          <t>HAIR SALON</t>
        </is>
      </c>
      <c r="D662" t="inlineStr">
        <is>
          <t>Carrer dels Flassaders, 42, Ciutat Vella, 08003 Barcelona, Spain</t>
        </is>
      </c>
      <c r="F662">
        <f>+34 670 84 90 49</f>
        <v/>
      </c>
      <c r="G662" t="inlineStr">
        <is>
          <t>voila@voilabeauty.com</t>
        </is>
      </c>
      <c r="H662" t="inlineStr">
        <is>
          <t>Pending</t>
        </is>
      </c>
    </row>
    <row r="663">
      <c r="A663" t="inlineStr">
        <is>
          <t>WHY NOT Barber Shop Paris - Peluquería Barbershop en Barcelona</t>
        </is>
      </c>
      <c r="C663" t="inlineStr">
        <is>
          <t>HAIR SALON</t>
        </is>
      </c>
      <c r="D663" t="inlineStr">
        <is>
          <t>Carrer de París, 132, Eixample, 08036 Barcelona, Spain</t>
        </is>
      </c>
      <c r="F663">
        <f>+34 657 39 69 09</f>
        <v/>
      </c>
      <c r="H663" t="inlineStr">
        <is>
          <t>Pending</t>
        </is>
      </c>
    </row>
    <row r="664">
      <c r="A664" t="inlineStr">
        <is>
          <t>WIT | Paral·lel</t>
        </is>
      </c>
      <c r="C664" t="inlineStr">
        <is>
          <t>HAIR SALON</t>
        </is>
      </c>
      <c r="D664" t="inlineStr">
        <is>
          <t>Carrer de Sant Pau, 122, Ciutat Vella, 08001 Barcelona, Spain</t>
        </is>
      </c>
      <c r="F664">
        <f>+34 936 00 78 06</f>
        <v/>
      </c>
      <c r="H664" t="inlineStr">
        <is>
          <t>Pending</t>
        </is>
      </c>
    </row>
    <row r="665">
      <c r="A665" t="inlineStr">
        <is>
          <t>Wanderlust Estilistes.</t>
        </is>
      </c>
      <c r="C665" t="inlineStr">
        <is>
          <t>HAIR SALON</t>
        </is>
      </c>
      <c r="D665" t="inlineStr">
        <is>
          <t>Ptge. de Pla, 11, local 2, Eixample, 08009 Barcelona, Spain</t>
        </is>
      </c>
      <c r="H665" t="inlineStr">
        <is>
          <t>Pending</t>
        </is>
      </c>
    </row>
    <row r="666">
      <c r="A666" t="inlineStr">
        <is>
          <t>Wapa'm Beauty Coworking &amp; Salon</t>
        </is>
      </c>
      <c r="C666" t="inlineStr">
        <is>
          <t>HAIR SALON</t>
        </is>
      </c>
      <c r="D666" t="inlineStr">
        <is>
          <t>Carrer de Girona, 152, Eixample, 08037 Barcelona, Spain</t>
        </is>
      </c>
      <c r="F666">
        <f>+34 934 59 25 59</f>
        <v/>
      </c>
      <c r="G666" t="inlineStr">
        <is>
          <t>wapam@wapam.es</t>
        </is>
      </c>
      <c r="H666" t="inlineStr">
        <is>
          <t>Pending</t>
        </is>
      </c>
    </row>
    <row r="667">
      <c r="A667" t="inlineStr">
        <is>
          <t>Wave Hair Salon</t>
        </is>
      </c>
      <c r="C667" t="inlineStr">
        <is>
          <t>HAIR SALON</t>
        </is>
      </c>
      <c r="D667" t="inlineStr">
        <is>
          <t>Carrer de Villarroel, 31, Eixample, 08011 Barcelona, Spain</t>
        </is>
      </c>
      <c r="E667" t="inlineStr">
        <is>
          <t>https://instagram.com/wavehairsalon_?igshid=YmMyMTA2M2Y=</t>
        </is>
      </c>
      <c r="F667">
        <f>+34 935 28 79 97</f>
        <v/>
      </c>
      <c r="H667" t="inlineStr">
        <is>
          <t>Pending</t>
        </is>
      </c>
    </row>
    <row r="668">
      <c r="A668" t="inlineStr">
        <is>
          <t>Wave Studio</t>
        </is>
      </c>
      <c r="C668" t="inlineStr">
        <is>
          <t>HAIR SALON</t>
        </is>
      </c>
      <c r="D668" t="inlineStr">
        <is>
          <t>Carrer dels Consellers, 1, Ciutat Vella, 08003 Barcelona, Spain</t>
        </is>
      </c>
      <c r="F668">
        <f>+34 931 26 17 43</f>
        <v/>
      </c>
      <c r="H668" t="inlineStr">
        <is>
          <t>Pending</t>
        </is>
      </c>
    </row>
    <row r="669">
      <c r="A669" t="inlineStr">
        <is>
          <t>Weber Hair Salon</t>
        </is>
      </c>
      <c r="C669" t="inlineStr">
        <is>
          <t>HAIR SALON</t>
        </is>
      </c>
      <c r="D669" t="inlineStr">
        <is>
          <t>Plaça de les Corts, Local 4, Les Corts, 08029 Barcelona, Spain</t>
        </is>
      </c>
      <c r="F669">
        <f>+34 938 28 95 25</f>
        <v/>
      </c>
      <c r="H669" t="inlineStr">
        <is>
          <t>Pending</t>
        </is>
      </c>
    </row>
    <row r="670">
      <c r="A670" t="inlineStr">
        <is>
          <t>Wess Barber</t>
        </is>
      </c>
      <c r="C670" t="inlineStr">
        <is>
          <t>HAIR SALON</t>
        </is>
      </c>
      <c r="D670" t="inlineStr">
        <is>
          <t>Carrer de Balmes, 86, Eixample, 08008 Barcelona, Spain</t>
        </is>
      </c>
      <c r="F670">
        <f>+34 936 94 13 79</f>
        <v/>
      </c>
      <c r="G670" t="inlineStr">
        <is>
          <t>info@wessbarber.com</t>
        </is>
      </c>
      <c r="H670" t="inlineStr">
        <is>
          <t>Pending</t>
        </is>
      </c>
    </row>
    <row r="671">
      <c r="A671" t="inlineStr">
        <is>
          <t>Will Style beauty &amp; salón</t>
        </is>
      </c>
      <c r="C671" t="inlineStr">
        <is>
          <t>HAIR SALON</t>
        </is>
      </c>
      <c r="D671" t="inlineStr">
        <is>
          <t>Carrer de la Diputació, 127, Eixample, 08015 Barcelona, Spain</t>
        </is>
      </c>
      <c r="F671">
        <f>+34 652 39 80 74</f>
        <v/>
      </c>
      <c r="H671" t="inlineStr">
        <is>
          <t>Pending</t>
        </is>
      </c>
    </row>
    <row r="672">
      <c r="A672" t="inlineStr">
        <is>
          <t>Winnie's Hair Studio</t>
        </is>
      </c>
      <c r="C672" t="inlineStr">
        <is>
          <t>HAIR SALON</t>
        </is>
      </c>
      <c r="D672" t="inlineStr">
        <is>
          <t>Carrer d'Amadeu Torner, 121, 08902 L'Hospitalet de Llobregat, Barcelona, Spain</t>
        </is>
      </c>
      <c r="F672">
        <f>+34 653 15 98 25</f>
        <v/>
      </c>
      <c r="H672" t="inlineStr">
        <is>
          <t>Pending</t>
        </is>
      </c>
    </row>
    <row r="673">
      <c r="A673" t="inlineStr">
        <is>
          <t>Wunderbar Boutique Clinics – Cirugía Plástica &amp; Medicina Estética Barcelona</t>
        </is>
      </c>
      <c r="C673" t="inlineStr">
        <is>
          <t>HAIR SALON</t>
        </is>
      </c>
      <c r="D673" t="inlineStr">
        <is>
          <t>Via Augusta, 1-3, Sarrià-Sant Gervasi, 08006 Barcelona, Spain</t>
        </is>
      </c>
      <c r="E673" t="inlineStr">
        <is>
          <t>http://www.wunderbarclinics.com/</t>
        </is>
      </c>
      <c r="F673">
        <f>+34 633 46 19 77</f>
        <v/>
      </c>
      <c r="H673" t="inlineStr">
        <is>
          <t>Pending</t>
        </is>
      </c>
    </row>
    <row r="674">
      <c r="A674" t="inlineStr">
        <is>
          <t>Yalma Beauty Salon</t>
        </is>
      </c>
      <c r="C674" t="inlineStr">
        <is>
          <t>HAIR SALON</t>
        </is>
      </c>
      <c r="D674" t="inlineStr">
        <is>
          <t>Travessera de les Corts, 352, Pb Local 4-5, Les Corts, 08029 Barcelona, Spain</t>
        </is>
      </c>
      <c r="F674">
        <f>+34 935 31 89 59</f>
        <v/>
      </c>
      <c r="G674" t="inlineStr">
        <is>
          <t>info@yalmabeauty.com</t>
        </is>
      </c>
      <c r="H674" t="inlineStr">
        <is>
          <t>Pending</t>
        </is>
      </c>
    </row>
    <row r="675">
      <c r="A675" t="inlineStr">
        <is>
          <t>Your Italian Barbers - Barberia Italiana Sants</t>
        </is>
      </c>
      <c r="C675" t="inlineStr">
        <is>
          <t>HAIR SALON</t>
        </is>
      </c>
      <c r="D675" t="inlineStr">
        <is>
          <t>Carrer de Sants, 331, Sants-Montjuïc, 08028 Barcelona, Spain</t>
        </is>
      </c>
      <c r="F675">
        <f>+34 937 01 55 20</f>
        <v/>
      </c>
      <c r="H675" t="inlineStr">
        <is>
          <t>Pending</t>
        </is>
      </c>
    </row>
    <row r="676">
      <c r="A676" t="inlineStr">
        <is>
          <t>Ysaelia Perez Beauty Studio</t>
        </is>
      </c>
      <c r="C676" t="inlineStr">
        <is>
          <t>HAIR SALON</t>
        </is>
      </c>
      <c r="D676" t="inlineStr">
        <is>
          <t>Carrer d'Elkano, 82 Bjs, Sants-Montjuïc, 08004 Barcelona, Spain</t>
        </is>
      </c>
      <c r="F676">
        <f>+34 691 87 22 69</f>
        <v/>
      </c>
      <c r="H676" t="inlineStr">
        <is>
          <t>Pending</t>
        </is>
      </c>
    </row>
    <row r="677">
      <c r="A677" t="inlineStr">
        <is>
          <t>Zackis Barbershop</t>
        </is>
      </c>
      <c r="C677" t="inlineStr">
        <is>
          <t>HAIR SALON</t>
        </is>
      </c>
      <c r="D677" t="inlineStr">
        <is>
          <t>Av del Portal de l'Àngel, 23, 1-2, Ciutat Vella, 08002 Barcelona, Spain</t>
        </is>
      </c>
      <c r="F677">
        <f>+34 652 43 37 60</f>
        <v/>
      </c>
      <c r="G677" t="inlineStr">
        <is>
          <t>zackisbarbershop@gmail.com</t>
        </is>
      </c>
      <c r="H677" t="inlineStr">
        <is>
          <t>Pending</t>
        </is>
      </c>
    </row>
    <row r="678">
      <c r="A678" t="inlineStr">
        <is>
          <t>alisado japones barcelona</t>
        </is>
      </c>
      <c r="C678" t="inlineStr">
        <is>
          <t>HAIR SALON</t>
        </is>
      </c>
      <c r="D678" t="inlineStr">
        <is>
          <t>Carrer de Mallorca, 167, bajo, Eixample, 08036 Barcelona, Spain</t>
        </is>
      </c>
      <c r="F678">
        <f>+34 685 43 99 72</f>
        <v/>
      </c>
      <c r="H678" t="inlineStr">
        <is>
          <t>Pending</t>
        </is>
      </c>
    </row>
    <row r="679">
      <c r="A679" t="inlineStr">
        <is>
          <t>bjinstruments</t>
        </is>
      </c>
      <c r="C679" t="inlineStr">
        <is>
          <t>HAIR SALON</t>
        </is>
      </c>
      <c r="D679" t="inlineStr">
        <is>
          <t>Carrer de Mallorca, 326, Eixample, 08037 Barcelona, Spain</t>
        </is>
      </c>
      <c r="E679" t="inlineStr">
        <is>
          <t>https://bjinstruments.com/es/</t>
        </is>
      </c>
      <c r="F679">
        <f>+34 722 29 87 20</f>
        <v/>
      </c>
      <c r="H679" t="inlineStr">
        <is>
          <t>Pending</t>
        </is>
      </c>
    </row>
    <row r="680">
      <c r="A680" t="inlineStr">
        <is>
          <t>kelvin Mendoza estilista</t>
        </is>
      </c>
      <c r="C680" t="inlineStr">
        <is>
          <t>HAIR SALON</t>
        </is>
      </c>
      <c r="D680" t="inlineStr">
        <is>
          <t>Carrer Creu Coberta, 121, Sants-Montjuïc, 08014 Barcelona, Spain</t>
        </is>
      </c>
      <c r="F680">
        <f>+34 627 87 35 43</f>
        <v/>
      </c>
      <c r="H680" t="inlineStr">
        <is>
          <t>Pending</t>
        </is>
      </c>
    </row>
    <row r="681">
      <c r="A681" t="inlineStr">
        <is>
          <t>peluquería encanto salon de belleza</t>
        </is>
      </c>
      <c r="C681" t="inlineStr">
        <is>
          <t>HAIR SALON</t>
        </is>
      </c>
      <c r="D681" t="inlineStr">
        <is>
          <t>Carrer de Josep Prats, 18-20, 08901 L'Hospitalet de Llobregat, Barcelona, Spain</t>
        </is>
      </c>
      <c r="F681">
        <f>+34 630 60 35 39</f>
        <v/>
      </c>
      <c r="H681" t="inlineStr">
        <is>
          <t>Pending</t>
        </is>
      </c>
    </row>
    <row r="682">
      <c r="A682" t="inlineStr">
        <is>
          <t>por los pelos.</t>
        </is>
      </c>
      <c r="C682" t="inlineStr">
        <is>
          <t>HAIR SALON</t>
        </is>
      </c>
      <c r="D682" t="inlineStr">
        <is>
          <t>Carrer de Francesc Moragas, 53, 55, 08901 L'Hospitalet de Llobregat, Barcelona, Spain</t>
        </is>
      </c>
      <c r="F682">
        <f>+34 933 38 80 00</f>
        <v/>
      </c>
      <c r="H682" t="inlineStr">
        <is>
          <t>Pending</t>
        </is>
      </c>
    </row>
    <row r="683">
      <c r="A683" t="inlineStr">
        <is>
          <t>ramiro barber shop</t>
        </is>
      </c>
      <c r="C683" t="inlineStr">
        <is>
          <t>HAIR SALON</t>
        </is>
      </c>
      <c r="D683" t="inlineStr">
        <is>
          <t>Travessera de les Corts, 284, Les Corts, 08029 Barcelona, Spain</t>
        </is>
      </c>
      <c r="F683">
        <f>+34 934 39 64 54</f>
        <v/>
      </c>
      <c r="H683" t="inlineStr">
        <is>
          <t>Pending</t>
        </is>
      </c>
    </row>
    <row r="684">
      <c r="A684" t="inlineStr">
        <is>
          <t>teentrends</t>
        </is>
      </c>
      <c r="C684" t="inlineStr">
        <is>
          <t>HAIR SALON</t>
        </is>
      </c>
      <c r="D684" t="inlineStr">
        <is>
          <t>Carrer de Déu i Mata, 62, Les Corts, 08029 Barcelona, Spain</t>
        </is>
      </c>
      <c r="F684">
        <f>+34 601 45 86 07</f>
        <v/>
      </c>
      <c r="H684" t="inlineStr">
        <is>
          <t>Pending</t>
        </is>
      </c>
    </row>
    <row r="685">
      <c r="A685" t="inlineStr">
        <is>
          <t>vintage estilistes les corts</t>
        </is>
      </c>
      <c r="C685" t="inlineStr">
        <is>
          <t>HAIR SALON</t>
        </is>
      </c>
      <c r="D685" t="inlineStr">
        <is>
          <t>Carrer del Vallespir, 125, Les Corts, 08014 Barcelona, Spain</t>
        </is>
      </c>
      <c r="F685">
        <f>+34 681 09 17 83</f>
        <v/>
      </c>
      <c r="H685" t="inlineStr">
        <is>
          <t>Pending</t>
        </is>
      </c>
    </row>
    <row r="686">
      <c r="A686" t="inlineStr">
        <is>
          <t>yacqueline Burgos estilistas</t>
        </is>
      </c>
      <c r="C686" t="inlineStr">
        <is>
          <t>HAIR SALON</t>
        </is>
      </c>
      <c r="D686" t="inlineStr">
        <is>
          <t>Carrer del Comte d'Urgell, 34, Eixample, 08011 Barcelona, Spain</t>
        </is>
      </c>
      <c r="F686">
        <f>+34 667 07 93 84</f>
        <v/>
      </c>
      <c r="H686" t="inlineStr">
        <is>
          <t>Pending</t>
        </is>
      </c>
    </row>
    <row r="687">
      <c r="A687" t="inlineStr">
        <is>
          <t>Ángela Barriga López</t>
        </is>
      </c>
      <c r="C687" t="inlineStr">
        <is>
          <t>HAIR SALON</t>
        </is>
      </c>
      <c r="D687" t="inlineStr">
        <is>
          <t>Av. Diagonal, 489, Les Corts, 08029 Barcelona, Spain</t>
        </is>
      </c>
      <c r="E687" t="inlineStr">
        <is>
          <t>https://www.angelabarrigadermatologa.es/</t>
        </is>
      </c>
      <c r="F687">
        <f>+34 935 50 01 06</f>
        <v/>
      </c>
      <c r="H687" t="inlineStr">
        <is>
          <t>Pending</t>
        </is>
      </c>
    </row>
    <row r="688">
      <c r="A688" t="inlineStr">
        <is>
          <t>âme beauty room</t>
        </is>
      </c>
      <c r="C688" t="inlineStr">
        <is>
          <t>HAIR SALON</t>
        </is>
      </c>
      <c r="D688" t="inlineStr">
        <is>
          <t>Carrer de Calàbria, 91, Eixample, 08015 Barcelona, Spain</t>
        </is>
      </c>
      <c r="F688">
        <f>+34 680 75 01 21</f>
        <v/>
      </c>
      <c r="H688" t="inlineStr">
        <is>
          <t>Pending</t>
        </is>
      </c>
    </row>
    <row r="689">
      <c r="A689" t="inlineStr">
        <is>
          <t>𝗗𝗶𝗲𝗴𝗼 𝗩𝗶𝗹𝗹𝗮𝗿 - Clínica DV Micropigmentación Barcelona</t>
        </is>
      </c>
      <c r="C689" t="inlineStr">
        <is>
          <t>HAIR SALON</t>
        </is>
      </c>
      <c r="D689" t="inlineStr">
        <is>
          <t>MEDICAL BALANCE, Carrer de Mallorca, 504, Eixample, 08013 Barcelona, Spain</t>
        </is>
      </c>
      <c r="E689" t="inlineStr">
        <is>
          <t>https://dvmicropigmentacionbarcelona.com/</t>
        </is>
      </c>
      <c r="F689">
        <f>+34 647 22 83 36</f>
        <v/>
      </c>
      <c r="G689" t="inlineStr">
        <is>
          <t>info@dvmicropigmentacionbarcelona.com</t>
        </is>
      </c>
      <c r="H689" t="inlineStr">
        <is>
          <t>Pending</t>
        </is>
      </c>
    </row>
    <row r="690">
      <c r="A690" t="inlineStr">
        <is>
          <t>💈 Barbershop perruqueria barberia💈</t>
        </is>
      </c>
      <c r="C690" t="inlineStr">
        <is>
          <t>HAIR SALON</t>
        </is>
      </c>
      <c r="D690" t="inlineStr">
        <is>
          <t>Carrer de Sepúlveda, 116, local 2, Eixample, 08015 Barcelona, Spain</t>
        </is>
      </c>
      <c r="F690">
        <f>+34 632 24 73 89</f>
        <v/>
      </c>
      <c r="H690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6640625" customWidth="1" min="1" max="1"/>
    <col width="17.6640625" customWidth="1" min="2" max="2"/>
    <col width="19.33203125" customWidth="1" min="3" max="3"/>
    <col width="20.109375" customWidth="1" min="4" max="4"/>
    <col width="25.109375" customWidth="1" min="5" max="5"/>
    <col width="17.6640625" customWidth="1" min="6" max="6"/>
  </cols>
  <sheetData>
    <row r="1">
      <c r="A1" s="1" t="inlineStr">
        <is>
          <t>Opportunity</t>
        </is>
      </c>
      <c r="B1" s="1" t="inlineStr">
        <is>
          <t>Name</t>
        </is>
      </c>
      <c r="C1" s="1" t="inlineStr">
        <is>
          <t>Categoria</t>
        </is>
      </c>
      <c r="D1" s="1" t="inlineStr">
        <is>
          <t>Address</t>
        </is>
      </c>
      <c r="E1" s="1" t="inlineStr">
        <is>
          <t>Website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Stage</t>
        </is>
      </c>
      <c r="I1" s="1" t="inlineStr">
        <is>
          <t>Notes</t>
        </is>
      </c>
    </row>
    <row r="2">
      <c r="A2" t="inlineStr">
        <is>
          <t>0 calvicie Diagonal</t>
        </is>
      </c>
      <c r="C2" t="inlineStr">
        <is>
          <t>CLINICA CAPILAR</t>
        </is>
      </c>
      <c r="D2" t="inlineStr">
        <is>
          <t>Av. Diagonal, 497, Les Corts, 08029 Barcelona, Spain</t>
        </is>
      </c>
      <c r="E2" t="inlineStr">
        <is>
          <t>https://0calvicie.com/</t>
        </is>
      </c>
      <c r="F2">
        <f>+34 933 48 47 36</f>
        <v/>
      </c>
      <c r="H2" t="inlineStr">
        <is>
          <t>Pending</t>
        </is>
      </c>
    </row>
    <row r="3">
      <c r="A3" t="inlineStr">
        <is>
          <t>Belleza capilar Daniel Bonachera</t>
        </is>
      </c>
      <c r="C3" t="inlineStr">
        <is>
          <t>CLINICA CAPILAR</t>
        </is>
      </c>
      <c r="D3" t="inlineStr">
        <is>
          <t>Carrer de Guitard, 47, Les Corts, 08014 Barcelona, Spain</t>
        </is>
      </c>
      <c r="F3">
        <f>+34 657 77 19 62</f>
        <v/>
      </c>
      <c r="H3" t="inlineStr">
        <is>
          <t>Pending</t>
        </is>
      </c>
    </row>
    <row r="4">
      <c r="A4" t="inlineStr">
        <is>
          <t>Biotricologia® Cosmética Capilar Natural Avanzada</t>
        </is>
      </c>
      <c r="C4" t="inlineStr">
        <is>
          <t>CLINICA CAPILAR</t>
        </is>
      </c>
      <c r="D4" t="inlineStr">
        <is>
          <t>Travessera de Gràcia, 73, Sarrià-Sant Gervasi, 08006 Barcelona, Spain</t>
        </is>
      </c>
      <c r="E4" t="inlineStr">
        <is>
          <t>http://www.biotricologia.com/</t>
        </is>
      </c>
      <c r="F4">
        <f>+34 630 84 73 56</f>
        <v/>
      </c>
      <c r="H4" t="inlineStr">
        <is>
          <t>Pending</t>
        </is>
      </c>
    </row>
    <row r="5">
      <c r="A5" t="inlineStr">
        <is>
          <t>Bliss Capilar Center</t>
        </is>
      </c>
      <c r="C5" t="inlineStr">
        <is>
          <t>CLINICA CAPILAR</t>
        </is>
      </c>
      <c r="D5" t="inlineStr">
        <is>
          <t>Carrer de Monturiol, 40, Sant Martí, 08018 Barcelona, Spain</t>
        </is>
      </c>
      <c r="E5" t="inlineStr">
        <is>
          <t>https://blisscapilarcenter.com/</t>
        </is>
      </c>
      <c r="F5">
        <f>+34 676 24 42 11</f>
        <v/>
      </c>
      <c r="H5" t="inlineStr">
        <is>
          <t>Pending</t>
        </is>
      </c>
    </row>
    <row r="6">
      <c r="A6" t="inlineStr">
        <is>
          <t>CCCI Centro de Cirugia Capilar Internacional</t>
        </is>
      </c>
      <c r="C6" t="inlineStr">
        <is>
          <t>CLINICA CAPILAR</t>
        </is>
      </c>
      <c r="D6" t="inlineStr">
        <is>
          <t>Pg. de St. Joan, 123, Eixample, 08037 Barcelona, Spain</t>
        </is>
      </c>
      <c r="E6" t="inlineStr">
        <is>
          <t>https://www.cccibarcelona.com/</t>
        </is>
      </c>
      <c r="F6">
        <f>+34 936 28 23 89</f>
        <v/>
      </c>
      <c r="H6" t="inlineStr">
        <is>
          <t>Pending</t>
        </is>
      </c>
    </row>
    <row r="7">
      <c r="A7" t="inlineStr">
        <is>
          <t>CHARA CAPILAR</t>
        </is>
      </c>
      <c r="C7" t="inlineStr">
        <is>
          <t>CLINICA CAPILAR</t>
        </is>
      </c>
      <c r="D7" t="inlineStr">
        <is>
          <t>Via Augusta, 20-22, Gràcia, 08006 Barcelona, Spain</t>
        </is>
      </c>
      <c r="E7" t="inlineStr">
        <is>
          <t>https://www.characapilar.com/</t>
        </is>
      </c>
      <c r="F7">
        <f>+34 611 05 92 58</f>
        <v/>
      </c>
      <c r="H7" t="inlineStr">
        <is>
          <t>Pending</t>
        </is>
      </c>
    </row>
    <row r="8">
      <c r="A8" t="inlineStr">
        <is>
          <t>CLINICANA</t>
        </is>
      </c>
      <c r="C8" t="inlineStr">
        <is>
          <t>CLINICA CAPILAR</t>
        </is>
      </c>
      <c r="D8" t="inlineStr">
        <is>
          <t>3º-3ª A, Pl. d'Urquinaona, 11, 08010 Barcelona, Spain</t>
        </is>
      </c>
      <c r="E8" t="inlineStr">
        <is>
          <t>http://www.clinicana.com/es/</t>
        </is>
      </c>
      <c r="F8">
        <f>+34 640 76 99 73</f>
        <v/>
      </c>
      <c r="H8" t="inlineStr">
        <is>
          <t>Pending</t>
        </is>
      </c>
    </row>
    <row r="9">
      <c r="A9" t="inlineStr">
        <is>
          <t>CapilClinic Barcelona</t>
        </is>
      </c>
      <c r="C9" t="inlineStr">
        <is>
          <t>CLINICA CAPILAR</t>
        </is>
      </c>
      <c r="D9" t="inlineStr">
        <is>
          <t>Amigó n 11, 3r y 4r, 08021 Barcelona, Spain</t>
        </is>
      </c>
      <c r="E9" t="inlineStr">
        <is>
          <t>https://www.capilclinic.es/injerto-capilar-barcelona/?utm_campaign=MapsBarcelona&amp;utm_source=Google&amp;utm_medium=domain_click</t>
        </is>
      </c>
      <c r="F9">
        <f>+34 932 71 33 46</f>
        <v/>
      </c>
      <c r="H9" t="inlineStr">
        <is>
          <t>Pending</t>
        </is>
      </c>
    </row>
    <row r="10">
      <c r="A10" t="inlineStr">
        <is>
          <t>Capilar Professionals</t>
        </is>
      </c>
      <c r="C10" t="inlineStr">
        <is>
          <t>CLINICA CAPILAR</t>
        </is>
      </c>
      <c r="D10" t="inlineStr">
        <is>
          <t>Av. de Josep Tarradellas, 74, Entresuelo 2, Eixample, 08029 Barcelona, Spain</t>
        </is>
      </c>
      <c r="E10" t="inlineStr">
        <is>
          <t>https://www.capilarprofessionals.com/</t>
        </is>
      </c>
      <c r="F10">
        <f>+34 681 19 43 67</f>
        <v/>
      </c>
      <c r="G10" t="inlineStr">
        <is>
          <t>roberto@capilarprofessionals.com</t>
        </is>
      </c>
      <c r="H10" t="inlineStr">
        <is>
          <t>Pending</t>
        </is>
      </c>
    </row>
    <row r="11">
      <c r="A11" t="inlineStr">
        <is>
          <t>Carreras Centre Capilar Oncològic</t>
        </is>
      </c>
      <c r="C11" t="inlineStr">
        <is>
          <t>CLINICA CAPILAR</t>
        </is>
      </c>
      <c r="D11" t="inlineStr">
        <is>
          <t>Av. de Josep Tarradellas, 74, 78, Eixample, 08029 Barcelona, Spain</t>
        </is>
      </c>
      <c r="E11" t="inlineStr">
        <is>
          <t>http://www.carrerascentrocapilar.com/</t>
        </is>
      </c>
      <c r="F11">
        <f>+34 934 19 20 03</f>
        <v/>
      </c>
      <c r="H11" t="inlineStr">
        <is>
          <t>Pending</t>
        </is>
      </c>
    </row>
    <row r="12">
      <c r="A12" t="inlineStr">
        <is>
          <t>Centre de Tecnologia Capilar</t>
        </is>
      </c>
      <c r="C12" t="inlineStr">
        <is>
          <t>CLINICA CAPILAR</t>
        </is>
      </c>
      <c r="D12" t="inlineStr">
        <is>
          <t>Carrer de Múrcia, 2, Local 10, Sant Martí, 08026 Barcelona, Spain</t>
        </is>
      </c>
      <c r="E12" t="inlineStr">
        <is>
          <t>https://www.clubzurko.com/zurko-ctc/</t>
        </is>
      </c>
      <c r="F12">
        <f>+34 937 20 45 41</f>
        <v/>
      </c>
      <c r="H12" t="inlineStr">
        <is>
          <t>Pending</t>
        </is>
      </c>
    </row>
    <row r="13">
      <c r="A13" t="inlineStr">
        <is>
          <t>Centros Beltrán Barcelona – Pelucas naturales y prótesis capilares</t>
        </is>
      </c>
      <c r="C13" t="inlineStr">
        <is>
          <t>CLINICA CAPILAR</t>
        </is>
      </c>
      <c r="D13" t="inlineStr">
        <is>
          <t>Pl. del Dr. Letamendi, 29, Eixample, 08007 Barcelona, Spain</t>
        </is>
      </c>
      <c r="E13" t="inlineStr">
        <is>
          <t>https://centrosbeltran.com/centros-asociados/protesis-capilar-barcelona/</t>
        </is>
      </c>
      <c r="F13">
        <f>+34 963 48 78 20</f>
        <v/>
      </c>
      <c r="H13" t="inlineStr">
        <is>
          <t>Pending</t>
        </is>
      </c>
    </row>
    <row r="14">
      <c r="A14" t="inlineStr">
        <is>
          <t>Clínica Capil·lar a Barcelona | Trasplantament o Ingert | Instituto del Pelo | Institut Català de Tricologia</t>
        </is>
      </c>
      <c r="C14" t="inlineStr">
        <is>
          <t>CLINICA CAPILAR</t>
        </is>
      </c>
      <c r="D14" t="inlineStr">
        <is>
          <t>Carrer d'Anglí, 39, bajos, Sarrià-Sant Gervasi, 08017 Barcelona, Spain</t>
        </is>
      </c>
      <c r="E14" t="inlineStr">
        <is>
          <t>https://institutodelpelo.com/</t>
        </is>
      </c>
      <c r="F14">
        <f>+34 932 41 78 88</f>
        <v/>
      </c>
      <c r="H14" t="inlineStr">
        <is>
          <t>Pending</t>
        </is>
      </c>
    </row>
    <row r="15">
      <c r="A15" t="inlineStr">
        <is>
          <t>Clínica Novum - Medicina Estética, Medicina Capilar y Estética Avanzada</t>
        </is>
      </c>
      <c r="C15" t="inlineStr">
        <is>
          <t>CLINICA CAPILAR</t>
        </is>
      </c>
      <c r="D15" t="inlineStr">
        <is>
          <t>Carrer del Comte Borrell, 204, local 4, Eixample, 08029 Barcelona, Spain</t>
        </is>
      </c>
      <c r="F15">
        <f>+34 934 51 40 57</f>
        <v/>
      </c>
      <c r="H15" t="inlineStr">
        <is>
          <t>Pending</t>
        </is>
      </c>
    </row>
    <row r="16">
      <c r="A16" t="inlineStr">
        <is>
          <t>Clínica Renace | Micropigmentación Capilar</t>
        </is>
      </c>
      <c r="C16" t="inlineStr">
        <is>
          <t>CLINICA CAPILAR</t>
        </is>
      </c>
      <c r="D16" t="inlineStr">
        <is>
          <t>Via Augusta, 1, 3, Sarrià-Sant Gervasi, 08006 Barcelona, Spain</t>
        </is>
      </c>
      <c r="E16" t="inlineStr">
        <is>
          <t>https://renaceclinica.com/</t>
        </is>
      </c>
      <c r="F16">
        <f>+34 668 52 27 66</f>
        <v/>
      </c>
      <c r="H16" t="inlineStr">
        <is>
          <t>Pending</t>
        </is>
      </c>
    </row>
    <row r="17">
      <c r="A17" t="inlineStr">
        <is>
          <t>DENSIFY capilar</t>
        </is>
      </c>
      <c r="C17" t="inlineStr">
        <is>
          <t>CLINICA CAPILAR</t>
        </is>
      </c>
      <c r="D17" t="inlineStr">
        <is>
          <t>Carrer de la Mare de Déu de la Salut, 78, 4D, Gràcia, 08024 Barcelona, Spain</t>
        </is>
      </c>
      <c r="E17" t="inlineStr">
        <is>
          <t>http://www.densify.es/</t>
        </is>
      </c>
      <c r="F17">
        <f>+34 648 90 82 32</f>
        <v/>
      </c>
      <c r="H17" t="inlineStr">
        <is>
          <t>Pending</t>
        </is>
      </c>
    </row>
    <row r="18">
      <c r="A18" t="inlineStr">
        <is>
          <t>Davelyn Micropigmentacion Capilar</t>
        </is>
      </c>
      <c r="C18" t="inlineStr">
        <is>
          <t>CLINICA CAPILAR</t>
        </is>
      </c>
      <c r="D18" t="inlineStr">
        <is>
          <t>Carrer Major, 69, 08901 L'Hospitalet de Llobregat, Barcelona, Spain</t>
        </is>
      </c>
      <c r="F18">
        <f>+34 674 39 54 07</f>
        <v/>
      </c>
      <c r="H18" t="inlineStr">
        <is>
          <t>Pending</t>
        </is>
      </c>
    </row>
    <row r="19">
      <c r="A19" t="inlineStr">
        <is>
          <t>Doctor Merlos Clínica de injerto capilar en Barcelona</t>
        </is>
      </c>
      <c r="C19" t="inlineStr">
        <is>
          <t>CLINICA CAPILAR</t>
        </is>
      </c>
      <c r="D19" t="inlineStr">
        <is>
          <t>Via Augusta, 1, Sarrià-Sant Gervasi, 08006 Barcelona, Spain</t>
        </is>
      </c>
      <c r="E19" t="inlineStr">
        <is>
          <t>https://drmerloscapilar.es/</t>
        </is>
      </c>
      <c r="F19">
        <f>+34 696 42 97 46</f>
        <v/>
      </c>
      <c r="H19" t="inlineStr">
        <is>
          <t>Pending</t>
        </is>
      </c>
    </row>
    <row r="20">
      <c r="A20" t="inlineStr">
        <is>
          <t>Dr. Daniela Fajardo - Spanish, Catalan &amp; English speaking Trichology &amp; Capillary Surgeon - Turó Park Clinics Barcelona</t>
        </is>
      </c>
      <c r="C20" t="inlineStr">
        <is>
          <t>CLINICA CAPILAR</t>
        </is>
      </c>
      <c r="D20" t="inlineStr">
        <is>
          <t>Plaça de Sant Gregori Taumaturg, 5, Sarrià-Sant Gervasi, 08021 Barcelona, Spain</t>
        </is>
      </c>
      <c r="E20" t="inlineStr">
        <is>
          <t>https://turoparkmedical.com/doctors/dr-daniela-fajardo-revollo-physician/</t>
        </is>
      </c>
      <c r="F20">
        <f>+34 932 52 97 29</f>
        <v/>
      </c>
      <c r="H20" t="inlineStr">
        <is>
          <t>Pending</t>
        </is>
      </c>
    </row>
    <row r="21">
      <c r="A21" t="inlineStr">
        <is>
          <t>Dr. Maria Carrera - Medicina Estética, láser y Tricología</t>
        </is>
      </c>
      <c r="C21" t="inlineStr">
        <is>
          <t>CLINICA CAPILAR</t>
        </is>
      </c>
      <c r="D21" t="inlineStr">
        <is>
          <t>Plaça de Sant Gregori Taumaturg, 5, Sarrià-Sant Gervasi, 08021 Barcelona, Spain</t>
        </is>
      </c>
      <c r="E21" t="inlineStr">
        <is>
          <t>https://dramariacarrera.com/</t>
        </is>
      </c>
      <c r="F21">
        <f>+34 932 52 97 29</f>
        <v/>
      </c>
      <c r="H21" t="inlineStr">
        <is>
          <t>Pending</t>
        </is>
      </c>
    </row>
    <row r="22">
      <c r="A22" t="inlineStr">
        <is>
          <t>EL TALLER CAPILAR BARCELONA</t>
        </is>
      </c>
      <c r="C22" t="inlineStr">
        <is>
          <t>CLINICA CAPILAR</t>
        </is>
      </c>
      <c r="D22" t="inlineStr">
        <is>
          <t>Carrer de Balmes, 110 principal, 1ª, Eixample, 08008 Barcelona, Spain</t>
        </is>
      </c>
      <c r="E22" t="inlineStr">
        <is>
          <t>http://eltallercapilar.com/</t>
        </is>
      </c>
      <c r="F22">
        <f>+34 645 84 33 71</f>
        <v/>
      </c>
      <c r="H22" t="inlineStr">
        <is>
          <t>Pending</t>
        </is>
      </c>
    </row>
    <row r="23">
      <c r="A23" t="inlineStr">
        <is>
          <t>Fuchisimo: Restauración de Tatuajes, Covers y Micropigmentación Capilar</t>
        </is>
      </c>
      <c r="C23" t="inlineStr">
        <is>
          <t>CLINICA CAPILAR</t>
        </is>
      </c>
      <c r="D23" t="inlineStr">
        <is>
          <t>Carrer del Turó de la Rovira, 86, Horta-Guinardó, 08032 Barcelona, Spain</t>
        </is>
      </c>
      <c r="E23" t="inlineStr">
        <is>
          <t>https://fuchisimo-microcapilar.com/</t>
        </is>
      </c>
      <c r="G23" t="inlineStr">
        <is>
          <t>raquelgarab@gmail.com</t>
        </is>
      </c>
      <c r="H23" t="inlineStr">
        <is>
          <t>Pending</t>
        </is>
      </c>
    </row>
    <row r="24">
      <c r="A24" t="inlineStr">
        <is>
          <t>Gournay Clínica Capilar en Barcelona - Instituto Quirúrgico Capilar</t>
        </is>
      </c>
      <c r="C24" t="inlineStr">
        <is>
          <t>CLINICA CAPILAR</t>
        </is>
      </c>
      <c r="D24" t="inlineStr">
        <is>
          <t>edificio Marquesa Consulta 181 edificio Vilana, Carrer de Vilana, 12, Consulta 30, Sarrià-Sant Gervasi, 08022 Barcelona, Spain</t>
        </is>
      </c>
      <c r="E24" t="inlineStr">
        <is>
          <t>https://institutoquirurgicocapilar.com/</t>
        </is>
      </c>
      <c r="F24">
        <f>+34 932 90 64 30</f>
        <v/>
      </c>
      <c r="H24" t="inlineStr">
        <is>
          <t>Pending</t>
        </is>
      </c>
    </row>
    <row r="25">
      <c r="A25" t="inlineStr">
        <is>
          <t>Hair Inspira® Expertos en Prótesis Capilares en Barcelona</t>
        </is>
      </c>
      <c r="C25" t="inlineStr">
        <is>
          <t>CLINICA CAPILAR</t>
        </is>
      </c>
      <c r="D25" t="inlineStr">
        <is>
          <t>Av. de Sarrià, 60, Les Corts, 08029 Barcelona, Spain</t>
        </is>
      </c>
      <c r="E25" t="inlineStr">
        <is>
          <t>https://hairinspira.com/estudio-expertos-protesis-capilares-barcelona/</t>
        </is>
      </c>
      <c r="F25">
        <f>+34 932 69 62 85</f>
        <v/>
      </c>
      <c r="G25" t="inlineStr">
        <is>
          <t>hello@hairinspira.com</t>
        </is>
      </c>
      <c r="H25" t="inlineStr">
        <is>
          <t>Pending</t>
        </is>
      </c>
    </row>
    <row r="26">
      <c r="A26" t="inlineStr">
        <is>
          <t>Hair Solution Clínica Salud y Estética Capilar</t>
        </is>
      </c>
      <c r="C26" t="inlineStr">
        <is>
          <t>CLINICA CAPILAR</t>
        </is>
      </c>
      <c r="D26" t="inlineStr">
        <is>
          <t>Carrer de l'Avenir, 39, Entreplanta 1, Sarrià-Sant Gervasi, 08021 Barcelona, Spain</t>
        </is>
      </c>
      <c r="E26" t="inlineStr">
        <is>
          <t>https://hairsolution.es/contacta/?utm_source=googlemaps&amp;utm_medium=googlemaps&amp;utm_campaign=googlemaps&amp;utm_content=bcn</t>
        </is>
      </c>
      <c r="F26">
        <f>+34 937 37 96 97</f>
        <v/>
      </c>
      <c r="H26" t="inlineStr">
        <is>
          <t>Pending</t>
        </is>
      </c>
    </row>
    <row r="27">
      <c r="A27" t="inlineStr">
        <is>
          <t>HairBack Clinic - Injerto Capilar en Barcelona, España</t>
        </is>
      </c>
      <c r="C27" t="inlineStr">
        <is>
          <t>CLINICA CAPILAR</t>
        </is>
      </c>
      <c r="D27" t="inlineStr">
        <is>
          <t>Carrer de Guillem Tell, 4, Sarrià-Sant Gervasi, 08006 Barcelona, Spain</t>
        </is>
      </c>
      <c r="E27" t="inlineStr">
        <is>
          <t>https://www.hairbackclinic.es/</t>
        </is>
      </c>
      <c r="F27">
        <f>+34 627 89 48 50</f>
        <v/>
      </c>
      <c r="H27" t="inlineStr">
        <is>
          <t>Pending</t>
        </is>
      </c>
    </row>
    <row r="28">
      <c r="A28" t="inlineStr">
        <is>
          <t>ISTITUTO DERMATOLOGICO TRICOLOGICO ROMANO</t>
        </is>
      </c>
      <c r="C28" t="inlineStr">
        <is>
          <t>CLINICA CAPILAR</t>
        </is>
      </c>
      <c r="D28" t="inlineStr">
        <is>
          <t>Via Bixio, 95, 00185 Roma RM, Italy</t>
        </is>
      </c>
      <c r="E28" t="inlineStr">
        <is>
          <t>https://www.istitutotricologico.it/</t>
        </is>
      </c>
      <c r="H28" t="inlineStr">
        <is>
          <t>Pending</t>
        </is>
      </c>
    </row>
    <row r="29">
      <c r="A29" t="inlineStr">
        <is>
          <t>Injerto Capilar Barcelona</t>
        </is>
      </c>
      <c r="C29" t="inlineStr">
        <is>
          <t>CLINICA CAPILAR</t>
        </is>
      </c>
      <c r="D29" t="inlineStr">
        <is>
          <t>Via Augusta, 281, planta 3, Sarrià-Sant Gervasi, 08017 Barcelona, Spain</t>
        </is>
      </c>
      <c r="E29" t="inlineStr">
        <is>
          <t>https://injertocapilarbarcelona.injertoscapilaresfue.com/</t>
        </is>
      </c>
      <c r="F29">
        <f>+34 919 49 82 43</f>
        <v/>
      </c>
      <c r="H29" t="inlineStr">
        <is>
          <t>Pending</t>
        </is>
      </c>
    </row>
    <row r="30">
      <c r="A30" t="inlineStr">
        <is>
          <t>Injerto capilar Barcelona - Renacek Cirugía Capilar</t>
        </is>
      </c>
      <c r="C30" t="inlineStr">
        <is>
          <t>CLINICA CAPILAR</t>
        </is>
      </c>
      <c r="D30" t="inlineStr">
        <is>
          <t>Carrer de Mallorca, Eixample, 08037 Barcelona, Spain</t>
        </is>
      </c>
      <c r="H30" t="inlineStr">
        <is>
          <t>Pending</t>
        </is>
      </c>
    </row>
    <row r="31">
      <c r="A31" t="inlineStr">
        <is>
          <t>Inktenza Micropigmentación Capilar</t>
        </is>
      </c>
      <c r="C31" t="inlineStr">
        <is>
          <t>CLINICA CAPILAR</t>
        </is>
      </c>
      <c r="D31" t="inlineStr">
        <is>
          <t>Carrer d'Entença, 47, Local, Eixample, 08015 Barcelona, Spain</t>
        </is>
      </c>
      <c r="E31" t="inlineStr">
        <is>
          <t>https://www.inktenzastudio.com/</t>
        </is>
      </c>
      <c r="F31">
        <f>+34 932 65 72 42</f>
        <v/>
      </c>
      <c r="G31" t="inlineStr">
        <is>
          <t>inktenza@inktenza.com</t>
        </is>
      </c>
      <c r="H31" t="inlineStr">
        <is>
          <t>Pending</t>
        </is>
      </c>
    </row>
    <row r="32">
      <c r="A32" t="inlineStr">
        <is>
          <t>Insparya® | Clínica salud capilar Barcelona</t>
        </is>
      </c>
      <c r="C32" t="inlineStr">
        <is>
          <t>CLINICA CAPILAR</t>
        </is>
      </c>
      <c r="D32" t="inlineStr">
        <is>
          <t>Av. Diagonal, 605, Planta 2, Les Corts, 08028 Barcelona, Spain</t>
        </is>
      </c>
      <c r="E32" t="inlineStr">
        <is>
          <t>https://www.insparya.es/</t>
        </is>
      </c>
      <c r="F32">
        <f>+34 900 861 603</f>
        <v/>
      </c>
      <c r="H32" t="inlineStr">
        <is>
          <t>Pending</t>
        </is>
      </c>
    </row>
    <row r="33">
      <c r="A33" t="inlineStr">
        <is>
          <t>Instituto Capilar Saint Antoine de París</t>
        </is>
      </c>
      <c r="C33" t="inlineStr">
        <is>
          <t>CLINICA CAPILAR</t>
        </is>
      </c>
      <c r="D33" t="inlineStr">
        <is>
          <t>Carrer de Balmes, 129bis, 4-2, Eixample, 08008 Barcelona, Spain</t>
        </is>
      </c>
      <c r="E33" t="inlineStr">
        <is>
          <t>http://www.capilarsaintantoine.com/</t>
        </is>
      </c>
      <c r="F33">
        <f>+34 933 17 63 47</f>
        <v/>
      </c>
      <c r="H33" t="inlineStr">
        <is>
          <t>Pending</t>
        </is>
      </c>
    </row>
    <row r="34">
      <c r="A34" t="inlineStr">
        <is>
          <t>Instituto Quirúrgico Capilar - Unidad Capilar I Gournay</t>
        </is>
      </c>
      <c r="C34" t="inlineStr">
        <is>
          <t>CLINICA CAPILAR</t>
        </is>
      </c>
      <c r="D34" t="inlineStr">
        <is>
          <t>edificio Marquesa Consulta 181 edificio Vilana, Carrer de Vilana, 12, Consulta 30, Sarrià-Sant Gervasi, 08022 Barcelona, Spain</t>
        </is>
      </c>
      <c r="E34" t="inlineStr">
        <is>
          <t>https://institutoquirurgicocapilar.com/</t>
        </is>
      </c>
      <c r="F34">
        <f>+34 932 90 64 30</f>
        <v/>
      </c>
      <c r="H34" t="inlineStr">
        <is>
          <t>Pending</t>
        </is>
      </c>
    </row>
    <row r="35">
      <c r="A35" t="inlineStr">
        <is>
          <t>Istituto Giglio Centro di Tricologia Reggio Emilia</t>
        </is>
      </c>
      <c r="C35" t="inlineStr">
        <is>
          <t>CLINICA CAPILAR</t>
        </is>
      </c>
      <c r="D35" t="inlineStr">
        <is>
          <t>Via Meuccio Ruini, 74, 42124 Reggio nell'Emilia RE, Italy</t>
        </is>
      </c>
      <c r="E35" t="inlineStr">
        <is>
          <t>https://www.istitutogiglio.it/</t>
        </is>
      </c>
      <c r="H35" t="inlineStr">
        <is>
          <t>Pending</t>
        </is>
      </c>
    </row>
    <row r="36">
      <c r="A36" t="inlineStr">
        <is>
          <t>Istituto Giglio Centro di Tricologia Roma</t>
        </is>
      </c>
      <c r="C36" t="inlineStr">
        <is>
          <t>CLINICA CAPILAR</t>
        </is>
      </c>
      <c r="D36" t="inlineStr">
        <is>
          <t>Via Giovanni Pierluigi da Palestrina, 63, 00193 Roma RM, Italy</t>
        </is>
      </c>
      <c r="E36" t="inlineStr">
        <is>
          <t>http://www.istitutogiglio.it/</t>
        </is>
      </c>
      <c r="H36" t="inlineStr">
        <is>
          <t>Pending</t>
        </is>
      </c>
    </row>
    <row r="37">
      <c r="A37" t="inlineStr">
        <is>
          <t>LEAL´S MICROPIGMENTACIÓN CAPILAR</t>
        </is>
      </c>
      <c r="C37" t="inlineStr">
        <is>
          <t>CLINICA CAPILAR</t>
        </is>
      </c>
      <c r="D37" t="inlineStr">
        <is>
          <t>Carrer del Rosselló, 218, Eixample, 08008 Barcelona, Spain</t>
        </is>
      </c>
      <c r="F37">
        <f>+34 671 34 92 24</f>
        <v/>
      </c>
      <c r="H37" t="inlineStr">
        <is>
          <t>Pending</t>
        </is>
      </c>
    </row>
    <row r="38">
      <c r="A38" t="inlineStr">
        <is>
          <t>LGSESPANA Micropigmentaion Capilar</t>
        </is>
      </c>
      <c r="C38" t="inlineStr">
        <is>
          <t>CLINICA CAPILAR</t>
        </is>
      </c>
      <c r="D38" t="inlineStr">
        <is>
          <t>Rambla de Volart, 5, Horta-Guinardó, 08041 Barcelona, Spain</t>
        </is>
      </c>
      <c r="F38">
        <f>+34 691 25 83 68</f>
        <v/>
      </c>
      <c r="H38" t="inlineStr">
        <is>
          <t>Pending</t>
        </is>
      </c>
    </row>
    <row r="39">
      <c r="A39" t="inlineStr">
        <is>
          <t>Luis Giraldo | Mesoterapia Capilar</t>
        </is>
      </c>
      <c r="C39" t="inlineStr">
        <is>
          <t>CLINICA CAPILAR</t>
        </is>
      </c>
      <c r="D39" t="inlineStr">
        <is>
          <t>Av. Diagonal, 489, Les Corts, 08029 Barcelona, Spain</t>
        </is>
      </c>
      <c r="F39">
        <f>+34 671 79 38 28</f>
        <v/>
      </c>
      <c r="H39" t="inlineStr">
        <is>
          <t>Pending</t>
        </is>
      </c>
    </row>
    <row r="40">
      <c r="A40" t="inlineStr">
        <is>
          <t>Manoli Hernández - Micropigmentación Capilar</t>
        </is>
      </c>
      <c r="C40" t="inlineStr">
        <is>
          <t>CLINICA CAPILAR</t>
        </is>
      </c>
      <c r="D40" t="inlineStr">
        <is>
          <t>Carrer de Mallorca, 82, entresuelo 2, Eixample, 08029 Barcelona, Spain</t>
        </is>
      </c>
      <c r="E40" t="inlineStr">
        <is>
          <t>https://www.manolihernandez.com/</t>
        </is>
      </c>
      <c r="F40">
        <f>+34 615 38 86 38</f>
        <v/>
      </c>
      <c r="G40" t="inlineStr">
        <is>
          <t>info@manolihernandez.com</t>
        </is>
      </c>
      <c r="H40" t="inlineStr">
        <is>
          <t>Pending</t>
        </is>
      </c>
    </row>
    <row r="41">
      <c r="A41" t="inlineStr">
        <is>
          <t>May Clínica Médica Capilar</t>
        </is>
      </c>
      <c r="C41" t="inlineStr">
        <is>
          <t>CLINICA CAPILAR</t>
        </is>
      </c>
      <c r="D41" t="inlineStr">
        <is>
          <t>Carrer de Buenos Aires, 34, Local, Eixample, 08036 Barcelona, Spain</t>
        </is>
      </c>
      <c r="E41" t="inlineStr">
        <is>
          <t>https://www.implantes-capilares.com/</t>
        </is>
      </c>
      <c r="F41">
        <f>+34 937 63 69 02</f>
        <v/>
      </c>
      <c r="H41" t="inlineStr">
        <is>
          <t>Pending</t>
        </is>
      </c>
    </row>
    <row r="42">
      <c r="A42" t="inlineStr">
        <is>
          <t>Medical Hair Barcelona - Clínica Capilar</t>
        </is>
      </c>
      <c r="C42" t="inlineStr">
        <is>
          <t>CLINICA CAPILAR</t>
        </is>
      </c>
      <c r="D42" t="inlineStr">
        <is>
          <t>C. del Dr. Fleming, 6, Sarrià-Sant Gervasi, 08017 Barcelona, Spain</t>
        </is>
      </c>
      <c r="E42" t="inlineStr">
        <is>
          <t>https://www.medicalhair.es/barcelona/</t>
        </is>
      </c>
      <c r="F42">
        <f>+34 937 79 64 62</f>
        <v/>
      </c>
      <c r="H42" t="inlineStr">
        <is>
          <t>Pending</t>
        </is>
      </c>
    </row>
    <row r="43">
      <c r="A43" t="inlineStr">
        <is>
          <t>Merlos y Caraza Clinica medicina estética y capilar</t>
        </is>
      </c>
      <c r="C43" t="inlineStr">
        <is>
          <t>CLINICA CAPILAR</t>
        </is>
      </c>
      <c r="D43" t="inlineStr">
        <is>
          <t>Via Augusta, 1, Sarrià-Sant Gervasi, 08006 Barcelona, Spain</t>
        </is>
      </c>
      <c r="E43" t="inlineStr">
        <is>
          <t>https://merloscaraza.com/</t>
        </is>
      </c>
      <c r="F43">
        <f>+34 696 42 97 46</f>
        <v/>
      </c>
      <c r="G43" t="inlineStr">
        <is>
          <t>atencion@merloscaraza.com</t>
        </is>
      </c>
      <c r="H43" t="inlineStr">
        <is>
          <t>Pending</t>
        </is>
      </c>
    </row>
    <row r="44">
      <c r="A44" t="inlineStr">
        <is>
          <t>Micropigmentacion Capilar Barcelona</t>
        </is>
      </c>
      <c r="C44" t="inlineStr">
        <is>
          <t>CLINICA CAPILAR</t>
        </is>
      </c>
      <c r="D44" t="inlineStr">
        <is>
          <t>Carrer de Sepúlveda, 125, Eixample, 08015 Barcelona, Spain</t>
        </is>
      </c>
      <c r="F44">
        <f>+34 673 35 14 95</f>
        <v/>
      </c>
      <c r="H44" t="inlineStr">
        <is>
          <t>Pending</t>
        </is>
      </c>
    </row>
    <row r="45">
      <c r="A45" t="inlineStr">
        <is>
          <t>Micropigmentació Capilar Barcelona</t>
        </is>
      </c>
      <c r="C45" t="inlineStr">
        <is>
          <t>CLINICA CAPILAR</t>
        </is>
      </c>
      <c r="D45" t="inlineStr">
        <is>
          <t>Gran Via de Carles III, 50-52, Local H, Les Corts, 08028 Barcelona, Spain</t>
        </is>
      </c>
      <c r="E45" t="inlineStr">
        <is>
          <t>http://micropigmentacioncapilarbcn.com/</t>
        </is>
      </c>
      <c r="F45">
        <f>+34 600 63 46 16</f>
        <v/>
      </c>
      <c r="H45" t="inlineStr">
        <is>
          <t>Pending</t>
        </is>
      </c>
    </row>
    <row r="46">
      <c r="A46" t="inlineStr">
        <is>
          <t>Micropigmentació Capilar Densitat Barcelona</t>
        </is>
      </c>
      <c r="C46" t="inlineStr">
        <is>
          <t>CLINICA CAPILAR</t>
        </is>
      </c>
      <c r="D46" t="inlineStr">
        <is>
          <t>Via Laietana, Ciutat Vella, 08003 Barcelona, Spain</t>
        </is>
      </c>
      <c r="E46" t="inlineStr">
        <is>
          <t>http://micropigmentacion-barcelona.com/</t>
        </is>
      </c>
      <c r="F46">
        <f>+34 639 37 32 00</f>
        <v/>
      </c>
      <c r="H46" t="inlineStr">
        <is>
          <t>Pending</t>
        </is>
      </c>
    </row>
    <row r="47">
      <c r="A47" t="inlineStr">
        <is>
          <t>Mímate+ Hospitalet Estética y Spa Capilar</t>
        </is>
      </c>
      <c r="C47" t="inlineStr">
        <is>
          <t>CLINICA CAPILAR</t>
        </is>
      </c>
      <c r="D47" t="inlineStr">
        <is>
          <t>Carrer Enginyer Moncunill, 53, 08905 L'Hospitalet de Llobregat, Barcelona, Spain</t>
        </is>
      </c>
      <c r="F47">
        <f>+34 640 30 78 95</f>
        <v/>
      </c>
      <c r="H47" t="inlineStr">
        <is>
          <t>Pending</t>
        </is>
      </c>
    </row>
    <row r="48">
      <c r="A48" t="inlineStr">
        <is>
          <t>Newman - Centro Capilar Unisex</t>
        </is>
      </c>
      <c r="C48" t="inlineStr">
        <is>
          <t>CLINICA CAPILAR</t>
        </is>
      </c>
      <c r="D48" t="inlineStr">
        <is>
          <t>Carrer de Còrsega, 496, entl. 4t, Gràcia, 08025 Barcelona, Spain</t>
        </is>
      </c>
      <c r="E48" t="inlineStr">
        <is>
          <t>https://www.capilarnewman.es/</t>
        </is>
      </c>
      <c r="F48">
        <f>+34 934 58 12 03</f>
        <v/>
      </c>
      <c r="H48" t="inlineStr">
        <is>
          <t>Pending</t>
        </is>
      </c>
    </row>
    <row r="49">
      <c r="A49" t="inlineStr">
        <is>
          <t>Oscar Arango | Micropigmentación Capilar Barcelona</t>
        </is>
      </c>
      <c r="C49" t="inlineStr">
        <is>
          <t>CLINICA CAPILAR</t>
        </is>
      </c>
      <c r="D49" t="inlineStr">
        <is>
          <t>Carrer del Rosselló, 273, Eixample, 08008 Barcelona, Spain</t>
        </is>
      </c>
      <c r="E49" t="inlineStr">
        <is>
          <t>https://oscararangocapilar.com/</t>
        </is>
      </c>
      <c r="F49">
        <f>+34 633 34 01 64</f>
        <v/>
      </c>
      <c r="H49" t="inlineStr">
        <is>
          <t>Pending</t>
        </is>
      </c>
    </row>
    <row r="50">
      <c r="A50" t="inlineStr">
        <is>
          <t>Pelucas Danien Centro Capilar</t>
        </is>
      </c>
      <c r="C50" t="inlineStr">
        <is>
          <t>CLINICA CAPILAR</t>
        </is>
      </c>
      <c r="D50" t="inlineStr">
        <is>
          <t>Carrer d'Aragó, 7, Entlo 3ª, Eixample, 08015 Barcelona, Spain</t>
        </is>
      </c>
      <c r="E50" t="inlineStr">
        <is>
          <t>https://danien.com/</t>
        </is>
      </c>
      <c r="F50">
        <f>+34 934 94 05 48</f>
        <v/>
      </c>
      <c r="H50" t="inlineStr">
        <is>
          <t>Pending</t>
        </is>
      </c>
    </row>
    <row r="51">
      <c r="A51" t="inlineStr">
        <is>
          <t>PlusCapilar &amp; Estética</t>
        </is>
      </c>
      <c r="C51" t="inlineStr">
        <is>
          <t>CLINICA CAPILAR</t>
        </is>
      </c>
      <c r="D51" t="inlineStr">
        <is>
          <t>Travessera de Gràcia, 43, entresuelo, Sarrià-Sant Gervasi, 08021 Barcelona, Spain</t>
        </is>
      </c>
      <c r="E51" t="inlineStr">
        <is>
          <t>https://pluscapilar.com/es/inicio/</t>
        </is>
      </c>
      <c r="F51">
        <f>+34 933 34 79 68</f>
        <v/>
      </c>
      <c r="H51" t="inlineStr">
        <is>
          <t>Pending</t>
        </is>
      </c>
    </row>
    <row r="52">
      <c r="A52" t="inlineStr">
        <is>
          <t>Remind Hair | Clínica capilar Barcelona</t>
        </is>
      </c>
      <c r="C52" t="inlineStr">
        <is>
          <t>CLINICA CAPILAR</t>
        </is>
      </c>
      <c r="D52" t="inlineStr">
        <is>
          <t>Av. Diagonal, 676, Locales 4 y 5, Les Corts, 08034 Barcelona, Spain</t>
        </is>
      </c>
      <c r="E52" t="inlineStr">
        <is>
          <t>https://www.remindhair.com/</t>
        </is>
      </c>
      <c r="F52">
        <f>+34 930 34 04 44</f>
        <v/>
      </c>
      <c r="H52" t="inlineStr">
        <is>
          <t>Pending</t>
        </is>
      </c>
    </row>
    <row r="53">
      <c r="A53" t="inlineStr">
        <is>
          <t>Rueber Centro Capilar</t>
        </is>
      </c>
      <c r="C53" t="inlineStr">
        <is>
          <t>CLINICA CAPILAR</t>
        </is>
      </c>
      <c r="D53" t="inlineStr">
        <is>
          <t>Gran Via de les Corts Catalanes, 581, Eixample, 08011 Barcelona, Spain</t>
        </is>
      </c>
      <c r="E53" t="inlineStr">
        <is>
          <t>http://www.ruebercentrocapilar.es/</t>
        </is>
      </c>
      <c r="F53">
        <f>+34 934 54 12 78</f>
        <v/>
      </c>
      <c r="H53" t="inlineStr">
        <is>
          <t>Pending</t>
        </is>
      </c>
    </row>
    <row r="54">
      <c r="A54" t="inlineStr">
        <is>
          <t>SANIGER Centro Capilar</t>
        </is>
      </c>
      <c r="C54" t="inlineStr">
        <is>
          <t>CLINICA CAPILAR</t>
        </is>
      </c>
      <c r="D54" t="inlineStr">
        <is>
          <t>Pg. de Gràcia, 78, Eixample, 08008 Barcelona, Spain</t>
        </is>
      </c>
      <c r="E54" t="inlineStr">
        <is>
          <t>http://saniger.es/</t>
        </is>
      </c>
      <c r="F54">
        <f>+34 932 15 36 18</f>
        <v/>
      </c>
      <c r="H54" t="inlineStr">
        <is>
          <t>Pending</t>
        </is>
      </c>
    </row>
    <row r="55">
      <c r="A55" t="inlineStr">
        <is>
          <t>SIMONE TRICHOLOGY</t>
        </is>
      </c>
      <c r="C55" t="inlineStr">
        <is>
          <t>CLINICA CAPILAR</t>
        </is>
      </c>
      <c r="D55" t="inlineStr">
        <is>
          <t>Carretera de Ribes, 186, 08520 Corró d'Avall, Barcelona, Spain</t>
        </is>
      </c>
      <c r="E55" t="inlineStr">
        <is>
          <t>https://www.simonehair.com/</t>
        </is>
      </c>
      <c r="F55">
        <f>+34 615 22 83 61</f>
        <v/>
      </c>
      <c r="H55" t="inlineStr">
        <is>
          <t>Pending</t>
        </is>
      </c>
    </row>
    <row r="56">
      <c r="A56" t="inlineStr">
        <is>
          <t>Sanantur - Implante capilar en Barcelona</t>
        </is>
      </c>
      <c r="C56" t="inlineStr">
        <is>
          <t>CLINICA CAPILAR</t>
        </is>
      </c>
      <c r="D56" t="inlineStr">
        <is>
          <t>Via Augusta, 281, Planta 4ª, Sarrià-Sant Gervasi, 08017 Barcelona, Spain</t>
        </is>
      </c>
      <c r="E56" t="inlineStr">
        <is>
          <t>https://sanantur.com/</t>
        </is>
      </c>
      <c r="F56">
        <f>+34 603 59 37 22</f>
        <v/>
      </c>
      <c r="H56" t="inlineStr">
        <is>
          <t>Pending</t>
        </is>
      </c>
    </row>
    <row r="57">
      <c r="A57" t="inlineStr">
        <is>
          <t>Società Italiana di Tricologia</t>
        </is>
      </c>
      <c r="C57" t="inlineStr">
        <is>
          <t>CLINICA CAPILAR</t>
        </is>
      </c>
      <c r="D57" t="inlineStr">
        <is>
          <t>Via S. Domenico, 107, 50133 Firenze FI, Italy</t>
        </is>
      </c>
      <c r="E57" t="inlineStr">
        <is>
          <t>http://sitri.it/</t>
        </is>
      </c>
      <c r="H57" t="inlineStr">
        <is>
          <t>Pending</t>
        </is>
      </c>
    </row>
    <row r="58">
      <c r="A58" t="inlineStr">
        <is>
          <t>Svenson - Clínica capilar en Barcelona - Muntaner</t>
        </is>
      </c>
      <c r="C58" t="inlineStr">
        <is>
          <t>CLINICA CAPILAR</t>
        </is>
      </c>
      <c r="D58" t="inlineStr">
        <is>
          <t>C/ de Muntaner, 239, Sarrià-Sant Gervasi, 08021 Barcelona, Spain</t>
        </is>
      </c>
      <c r="E58" t="inlineStr">
        <is>
          <t>https://www.svenson.es/centros-capilares/centro-capilar-barcelona-muntaner/</t>
        </is>
      </c>
      <c r="F58">
        <f>+34 932 41 39 38</f>
        <v/>
      </c>
      <c r="H58" t="inlineStr">
        <is>
          <t>Pending</t>
        </is>
      </c>
    </row>
    <row r="59">
      <c r="A59" t="inlineStr">
        <is>
          <t>Trasplante Capilar SIN rapar Dra Lorena Barboza</t>
        </is>
      </c>
      <c r="C59" t="inlineStr">
        <is>
          <t>CLINICA CAPILAR</t>
        </is>
      </c>
      <c r="D59" t="inlineStr">
        <is>
          <t>Av. Diagonal, 383, Principal 1ª, Eixample, 08008 Barcelona, Spain</t>
        </is>
      </c>
      <c r="E59" t="inlineStr">
        <is>
          <t>https://www.villodres.org/</t>
        </is>
      </c>
      <c r="F59">
        <f>+34 639 47 84 04</f>
        <v/>
      </c>
      <c r="H59" t="inlineStr">
        <is>
          <t>Pending</t>
        </is>
      </c>
    </row>
    <row r="60">
      <c r="A60" t="inlineStr">
        <is>
          <t>Trasplante Capilar Turquía | Global Health | Hair in Istanbul</t>
        </is>
      </c>
      <c r="C60" t="inlineStr">
        <is>
          <t>CLINICA CAPILAR</t>
        </is>
      </c>
      <c r="D60" t="inlineStr">
        <is>
          <t>Av. Diagonal, 640, Planta Oficina A, Les Corts, 08017 Barcelona, Spain</t>
        </is>
      </c>
      <c r="E60" t="inlineStr">
        <is>
          <t>https://trasplantepeloturquia.com/</t>
        </is>
      </c>
      <c r="F60">
        <f>+34 648 42 37 77</f>
        <v/>
      </c>
      <c r="H60" t="inlineStr">
        <is>
          <t>Pending</t>
        </is>
      </c>
    </row>
    <row r="61">
      <c r="A61" t="inlineStr">
        <is>
          <t>Tricologia e Cura dei Capelli a Lecce - Istituto Tricholos</t>
        </is>
      </c>
      <c r="C61" t="inlineStr">
        <is>
          <t>CLINICA CAPILAR</t>
        </is>
      </c>
      <c r="D61" t="inlineStr">
        <is>
          <t>Viale G. Leopardi, 136/A, 73100 Lecce LE, Italy</t>
        </is>
      </c>
      <c r="E61" t="inlineStr">
        <is>
          <t>https://www.tricholos.com/</t>
        </is>
      </c>
      <c r="H61" t="inlineStr">
        <is>
          <t>Pending</t>
        </is>
      </c>
    </row>
    <row r="62">
      <c r="A62" t="inlineStr">
        <is>
          <t>TricologiaMir | Unidad de Tricología Médico-Quirúrgica</t>
        </is>
      </c>
      <c r="C62" t="inlineStr">
        <is>
          <t>CLINICA CAPILAR</t>
        </is>
      </c>
      <c r="D62" t="inlineStr">
        <is>
          <t>Clínica Salvà ·, Camí de Son Rapinya, 1, Planta 2, Ponent, 07013 Palma, Balearic Islands, Spain</t>
        </is>
      </c>
      <c r="E62" t="inlineStr">
        <is>
          <t>http://www.tricologiamir.com/</t>
        </is>
      </c>
      <c r="F62">
        <f>+34 971 94 09 85</f>
        <v/>
      </c>
      <c r="H62" t="inlineStr">
        <is>
          <t>Pending</t>
        </is>
      </c>
    </row>
    <row r="63">
      <c r="A63" t="inlineStr">
        <is>
          <t>Tricomedical | Centro Medico Tricologico Milano</t>
        </is>
      </c>
      <c r="C63" t="inlineStr">
        <is>
          <t>CLINICA CAPILAR</t>
        </is>
      </c>
      <c r="D63" t="inlineStr">
        <is>
          <t>Via Edolo, 26, 20125 Milano MI, Italy</t>
        </is>
      </c>
      <c r="E63" t="inlineStr">
        <is>
          <t>https://www.tricomedical.it/</t>
        </is>
      </c>
      <c r="H63" t="inlineStr">
        <is>
          <t>Pending</t>
        </is>
      </c>
    </row>
    <row r="64">
      <c r="A64" t="inlineStr">
        <is>
          <t>Wunderbar Hair Clinic – Trasplante Capilar Barcelona</t>
        </is>
      </c>
      <c r="C64" t="inlineStr">
        <is>
          <t>CLINICA CAPILAR</t>
        </is>
      </c>
      <c r="D64" t="inlineStr">
        <is>
          <t>Via Augusta, 1-3, Sarrià-Sant Gervasi, 08006 Barcelona, Spain</t>
        </is>
      </c>
      <c r="E64" t="inlineStr">
        <is>
          <t>http://www.wunderbarhairclinic.com/</t>
        </is>
      </c>
      <c r="F64">
        <f>+34 633 46 19 77</f>
        <v/>
      </c>
      <c r="H64" t="inlineStr">
        <is>
          <t>Pending</t>
        </is>
      </c>
    </row>
    <row r="65">
      <c r="A65" t="inlineStr">
        <is>
          <t>ZonaCapilar</t>
        </is>
      </c>
      <c r="C65" t="inlineStr">
        <is>
          <t>CLINICA CAPILAR</t>
        </is>
      </c>
      <c r="D65" t="inlineStr">
        <is>
          <t>Carrer de Johann Sebastian Bach, Sarrià-Sant Gervasi, 08021 Barcelona, Spain</t>
        </is>
      </c>
      <c r="F65">
        <f>+34 933 90 05 32</f>
        <v/>
      </c>
      <c r="H65" t="inlineStr">
        <is>
          <t>Pending</t>
        </is>
      </c>
    </row>
    <row r="66">
      <c r="A66" t="inlineStr">
        <is>
          <t>clinica capilar gracia</t>
        </is>
      </c>
      <c r="C66" t="inlineStr">
        <is>
          <t>CLINICA CAPILAR</t>
        </is>
      </c>
      <c r="D66" t="inlineStr">
        <is>
          <t>Carrer de Joan Blanques, 40, Gràcia, 08012 Barcelona, Spain</t>
        </is>
      </c>
      <c r="E66" t="inlineStr">
        <is>
          <t>http://capildent.com/</t>
        </is>
      </c>
      <c r="F66">
        <f>+34 670 23 52 35</f>
        <v/>
      </c>
      <c r="H66" t="inlineStr">
        <is>
          <t>Pending</t>
        </is>
      </c>
    </row>
    <row r="67">
      <c r="A67" t="inlineStr">
        <is>
          <t>ÁNGEL SMP - MICROPIGMENTACIÓN CAPILAR</t>
        </is>
      </c>
      <c r="C67" t="inlineStr">
        <is>
          <t>CLINICA CAPILAR</t>
        </is>
      </c>
      <c r="D67" t="inlineStr">
        <is>
          <t>Avinguda de la Riera de Cassoles, 5, Sarrià-Sant Gervasi, 08012 Barcelona, Spain</t>
        </is>
      </c>
      <c r="F67">
        <f>+34 624 72 36 38</f>
        <v/>
      </c>
      <c r="H67" t="inlineStr">
        <is>
          <t>Pending</t>
        </is>
      </c>
    </row>
    <row r="68">
      <c r="A68" t="inlineStr">
        <is>
          <t>▷ Aslan Capilar - Clínica Capilar en Barcelona</t>
        </is>
      </c>
      <c r="C68" t="inlineStr">
        <is>
          <t>CLINICA CAPILAR</t>
        </is>
      </c>
      <c r="D68" t="inlineStr">
        <is>
          <t>Via Augusta, 281, Sarrià-Sant Gervasi, 08017 Barcelona, Spain</t>
        </is>
      </c>
      <c r="E68" t="inlineStr">
        <is>
          <t>http://www.aslancapilar.com/</t>
        </is>
      </c>
      <c r="F68">
        <f>+34 686 68 87 41</f>
        <v/>
      </c>
      <c r="H68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2026-07-19T15:13:47Z</dcterms:created>
  <dcterms:modified xmlns:dcterms="http://purl.org/dc/terms/" xmlns:xsi="http://www.w3.org/2001/XMLSchema-instance" xsi:type="dcterms:W3CDTF">2026-07-19T15:13:47Z</dcterms:modified>
</cp:coreProperties>
</file>